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Formation Data\Projet Wine Cellar\data\"/>
    </mc:Choice>
  </mc:AlternateContent>
  <xr:revisionPtr revIDLastSave="0" documentId="13_ncr:1_{C5A1F22C-887F-48EE-901E-3CB436D68480}" xr6:coauthVersionLast="47" xr6:coauthVersionMax="47" xr10:uidLastSave="{00000000-0000-0000-0000-000000000000}"/>
  <bookViews>
    <workbookView xWindow="-110" yWindow="-110" windowWidth="19420" windowHeight="10300" activeTab="5" xr2:uid="{9B07486F-90D0-49A4-8C5D-251E3661FA0E}"/>
  </bookViews>
  <sheets>
    <sheet name="map_appelations" sheetId="1" r:id="rId1"/>
    <sheet name="Feuil1" sheetId="2" r:id="rId2"/>
    <sheet name="Feuil2" sheetId="3" r:id="rId3"/>
    <sheet name="Appelations" sheetId="4" r:id="rId4"/>
    <sheet name="cave_Appelations" sheetId="5" r:id="rId5"/>
    <sheet name="Map2_AOC" sheetId="6" r:id="rId6"/>
  </sheets>
  <definedNames>
    <definedName name="_xlnm._FilterDatabase" localSheetId="3" hidden="1">Appelations!$A$1:$D$298</definedName>
    <definedName name="_xlnm._FilterDatabase" localSheetId="4" hidden="1">cave_Appelations!$A$1:$C$360</definedName>
    <definedName name="_xlnm._FilterDatabase" localSheetId="5" hidden="1">Map2_AOC!$A$1:$B$1335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0" i="4" l="1"/>
  <c r="E236" i="4"/>
  <c r="C286" i="4"/>
  <c r="B286" i="4" s="1"/>
  <c r="C33" i="4"/>
  <c r="B33" i="4" s="1"/>
  <c r="C31" i="4"/>
  <c r="B31" i="4" s="1"/>
  <c r="C54" i="4"/>
  <c r="B54" i="4" s="1"/>
  <c r="C133" i="4"/>
  <c r="B133" i="4" s="1"/>
  <c r="C160" i="4"/>
  <c r="B160" i="4" s="1"/>
  <c r="C85" i="4"/>
  <c r="B85" i="4" s="1"/>
  <c r="C106" i="4"/>
  <c r="B106" i="4" s="1"/>
  <c r="C17" i="4"/>
  <c r="B17" i="4" s="1"/>
  <c r="C5" i="4"/>
  <c r="B5" i="4" s="1"/>
  <c r="C112" i="4"/>
  <c r="B112" i="4" s="1"/>
  <c r="C14" i="4"/>
  <c r="B14" i="4" s="1"/>
  <c r="C283" i="4"/>
  <c r="B283" i="4" s="1"/>
  <c r="C32" i="4"/>
  <c r="B32" i="4" s="1"/>
  <c r="C82" i="4"/>
  <c r="B82" i="4" s="1"/>
  <c r="C79" i="4"/>
  <c r="B79" i="4" s="1"/>
  <c r="C157" i="4"/>
  <c r="B157" i="4" s="1"/>
  <c r="C164" i="4"/>
  <c r="B164" i="4" s="1"/>
  <c r="C6" i="4"/>
  <c r="B6" i="4" s="1"/>
  <c r="C108" i="4"/>
  <c r="B108" i="4" s="1"/>
  <c r="C225" i="4"/>
  <c r="B225" i="4" s="1"/>
  <c r="C229" i="4"/>
  <c r="B229" i="4" s="1"/>
  <c r="C289" i="4"/>
  <c r="B289" i="4" s="1"/>
  <c r="C70" i="4"/>
  <c r="B70" i="4" s="1"/>
  <c r="C230" i="4"/>
  <c r="B230" i="4" s="1"/>
  <c r="C186" i="4"/>
  <c r="B186" i="4" s="1"/>
  <c r="C284" i="4"/>
  <c r="B284" i="4" s="1"/>
  <c r="C69" i="4"/>
  <c r="B69" i="4" s="1"/>
  <c r="C156" i="4"/>
  <c r="B156" i="4" s="1"/>
  <c r="C71" i="4"/>
  <c r="B71" i="4" s="1"/>
  <c r="C62" i="4"/>
  <c r="B62" i="4" s="1"/>
  <c r="C173" i="4"/>
  <c r="B173" i="4" s="1"/>
  <c r="C145" i="4"/>
  <c r="B145" i="4" s="1"/>
  <c r="C222" i="4"/>
  <c r="B222" i="4" s="1"/>
  <c r="C96" i="4"/>
  <c r="B96" i="4" s="1"/>
  <c r="C36" i="4"/>
  <c r="B36" i="4" s="1"/>
  <c r="C153" i="4"/>
  <c r="B153" i="4" s="1"/>
  <c r="C276" i="4"/>
  <c r="B276" i="4" s="1"/>
  <c r="C66" i="4"/>
  <c r="B66" i="4" s="1"/>
  <c r="C147" i="4"/>
  <c r="B147" i="4" s="1"/>
  <c r="C81" i="4"/>
  <c r="B81" i="4" s="1"/>
  <c r="C223" i="4"/>
  <c r="B223" i="4" s="1"/>
  <c r="C18" i="4"/>
  <c r="B18" i="4" s="1"/>
  <c r="C288" i="4"/>
  <c r="B288" i="4" s="1"/>
  <c r="C19" i="4"/>
  <c r="B19" i="4" s="1"/>
  <c r="C148" i="4"/>
  <c r="B148" i="4" s="1"/>
  <c r="C68" i="4"/>
  <c r="B68" i="4" s="1"/>
  <c r="C51" i="4"/>
  <c r="B51" i="4" s="1"/>
  <c r="C58" i="4"/>
  <c r="B58" i="4" s="1"/>
  <c r="C12" i="4"/>
  <c r="B12" i="4" s="1"/>
  <c r="C139" i="4"/>
  <c r="B139" i="4" s="1"/>
  <c r="C55" i="4"/>
  <c r="B55" i="4" s="1"/>
  <c r="C243" i="4"/>
  <c r="B243" i="4" s="1"/>
  <c r="C15" i="4"/>
  <c r="B15" i="4" s="1"/>
  <c r="C149" i="4"/>
  <c r="B149" i="4" s="1"/>
  <c r="C49" i="4"/>
  <c r="B49" i="4" s="1"/>
  <c r="C10" i="4"/>
  <c r="B10" i="4" s="1"/>
  <c r="C205" i="4"/>
  <c r="B205" i="4" s="1"/>
  <c r="C30" i="4"/>
  <c r="B30" i="4" s="1"/>
  <c r="C65" i="4"/>
  <c r="B65" i="4" s="1"/>
  <c r="C67" i="4"/>
  <c r="B67" i="4" s="1"/>
  <c r="C275" i="4"/>
  <c r="B275" i="4" s="1"/>
  <c r="C143" i="4"/>
  <c r="B143" i="4" s="1"/>
  <c r="C204" i="4"/>
  <c r="B204" i="4" s="1"/>
  <c r="C269" i="4"/>
  <c r="B269" i="4" s="1"/>
  <c r="C246" i="4"/>
  <c r="B246" i="4" s="1"/>
  <c r="C237" i="4"/>
  <c r="B237" i="4" s="1"/>
  <c r="C169" i="4"/>
  <c r="B169" i="4" s="1"/>
  <c r="C47" i="4"/>
  <c r="B47" i="4" s="1"/>
  <c r="C239" i="4"/>
  <c r="B239" i="4" s="1"/>
  <c r="C114" i="4"/>
  <c r="B114" i="4" s="1"/>
  <c r="C270" i="4"/>
  <c r="B270" i="4" s="1"/>
  <c r="C281" i="4"/>
  <c r="B281" i="4" s="1"/>
  <c r="C59" i="4"/>
  <c r="C271" i="4"/>
  <c r="B271" i="4" s="1"/>
  <c r="C266" i="4"/>
  <c r="B266" i="4" s="1"/>
  <c r="C165" i="4"/>
  <c r="B165" i="4" s="1"/>
  <c r="C146" i="4"/>
  <c r="B146" i="4" s="1"/>
  <c r="C282" i="4"/>
  <c r="B282" i="4" s="1"/>
  <c r="C251" i="4"/>
  <c r="B251" i="4" s="1"/>
  <c r="C226" i="4"/>
  <c r="B226" i="4" s="1"/>
  <c r="C171" i="4"/>
  <c r="C168" i="4"/>
  <c r="B168" i="4" s="1"/>
  <c r="C95" i="4"/>
  <c r="B95" i="4" s="1"/>
  <c r="C110" i="4"/>
  <c r="B110" i="4" s="1"/>
  <c r="C94" i="4"/>
  <c r="B94" i="4" s="1"/>
  <c r="C52" i="4"/>
  <c r="B52" i="4" s="1"/>
  <c r="C209" i="4"/>
  <c r="B209" i="4" s="1"/>
  <c r="C152" i="4"/>
  <c r="B152" i="4" s="1"/>
  <c r="C2" i="4"/>
  <c r="B2" i="4" s="1"/>
  <c r="C35" i="4"/>
  <c r="B35" i="4" s="1"/>
  <c r="C97" i="4"/>
  <c r="B97" i="4" s="1"/>
  <c r="C134" i="4"/>
  <c r="B134" i="4" s="1"/>
  <c r="C224" i="4"/>
  <c r="B224" i="4" s="1"/>
  <c r="C34" i="4"/>
  <c r="B34" i="4" s="1"/>
  <c r="C9" i="4"/>
  <c r="B9" i="4" s="1"/>
  <c r="C287" i="4"/>
  <c r="B287" i="4" s="1"/>
  <c r="C86" i="4"/>
  <c r="B86" i="4" s="1"/>
  <c r="C181" i="4"/>
  <c r="B181" i="4" s="1"/>
  <c r="C73" i="4"/>
  <c r="B73" i="4" s="1"/>
  <c r="C182" i="4"/>
  <c r="B182" i="4" s="1"/>
  <c r="C211" i="4"/>
  <c r="B211" i="4" s="1"/>
  <c r="C183" i="4"/>
  <c r="B183" i="4" s="1"/>
  <c r="C268" i="4"/>
  <c r="B268" i="4" s="1"/>
  <c r="C285" i="4"/>
  <c r="B285" i="4" s="1"/>
  <c r="C111" i="4"/>
  <c r="B111" i="4" s="1"/>
  <c r="C203" i="4"/>
  <c r="B203" i="4" s="1"/>
  <c r="C256" i="4"/>
  <c r="B256" i="4" s="1"/>
  <c r="C23" i="4"/>
  <c r="B23" i="4" s="1"/>
  <c r="C63" i="4"/>
  <c r="B63" i="4" s="1"/>
  <c r="C154" i="4"/>
  <c r="B154" i="4" s="1"/>
  <c r="C109" i="4"/>
  <c r="B109" i="4" s="1"/>
  <c r="C235" i="4"/>
  <c r="B235" i="4" s="1"/>
  <c r="C24" i="4"/>
  <c r="B24" i="4" s="1"/>
  <c r="C16" i="4"/>
  <c r="B16" i="4" s="1"/>
  <c r="C13" i="4"/>
  <c r="B13" i="4" s="1"/>
  <c r="C178" i="4"/>
  <c r="B178" i="4" s="1"/>
  <c r="C38" i="4"/>
  <c r="B38" i="4" s="1"/>
  <c r="C159" i="4"/>
  <c r="B159" i="4" s="1"/>
  <c r="C45" i="4"/>
  <c r="B45" i="4" s="1"/>
  <c r="C293" i="4"/>
  <c r="B293" i="4" s="1"/>
  <c r="C234" i="4"/>
  <c r="B234" i="4" s="1"/>
  <c r="C80" i="4"/>
  <c r="B80" i="4" s="1"/>
  <c r="C39" i="4"/>
  <c r="B39" i="4" s="1"/>
  <c r="C136" i="4"/>
  <c r="B136" i="4" s="1"/>
  <c r="C56" i="4"/>
  <c r="B56" i="4" s="1"/>
  <c r="C41" i="4"/>
  <c r="B41" i="4" s="1"/>
  <c r="C37" i="4"/>
  <c r="B37" i="4" s="1"/>
  <c r="C240" i="4"/>
  <c r="B240" i="4" s="1"/>
  <c r="C125" i="4"/>
  <c r="B125" i="4" s="1"/>
  <c r="C140" i="4"/>
  <c r="B140" i="4" s="1"/>
  <c r="C29" i="4"/>
  <c r="B29" i="4" s="1"/>
  <c r="C11" i="4"/>
  <c r="B11" i="4" s="1"/>
  <c r="C179" i="4"/>
  <c r="B179" i="4" s="1"/>
  <c r="C42" i="4"/>
  <c r="B42" i="4" s="1"/>
  <c r="C180" i="4"/>
  <c r="B180" i="4" s="1"/>
  <c r="C219" i="4"/>
  <c r="B219" i="4" s="1"/>
  <c r="C249" i="4"/>
  <c r="B249" i="4" s="1"/>
  <c r="C176" i="4"/>
  <c r="B176" i="4" s="1"/>
  <c r="C291" i="4"/>
  <c r="B291" i="4" s="1"/>
  <c r="C44" i="4"/>
  <c r="B44" i="4" s="1"/>
  <c r="C215" i="4"/>
  <c r="B215" i="4" s="1"/>
  <c r="C75" i="4"/>
  <c r="B75" i="4" s="1"/>
  <c r="C26" i="4"/>
  <c r="B26" i="4" s="1"/>
  <c r="C141" i="4"/>
  <c r="B141" i="4" s="1"/>
  <c r="C227" i="4"/>
  <c r="B227" i="4" s="1"/>
  <c r="C175" i="4"/>
  <c r="B175" i="4" s="1"/>
  <c r="C74" i="4"/>
  <c r="B74" i="4" s="1"/>
  <c r="C25" i="4"/>
  <c r="B25" i="4" s="1"/>
  <c r="C177" i="4"/>
  <c r="B177" i="4" s="1"/>
  <c r="C72" i="4"/>
  <c r="B72" i="4" s="1"/>
  <c r="C264" i="4"/>
  <c r="B264" i="4" s="1"/>
  <c r="C20" i="4"/>
  <c r="B20" i="4" s="1"/>
  <c r="C76" i="4"/>
  <c r="B76" i="4" s="1"/>
  <c r="C7" i="4"/>
  <c r="B7" i="4" s="1"/>
  <c r="C170" i="4"/>
  <c r="B170" i="4" s="1"/>
  <c r="C22" i="4"/>
  <c r="B22" i="4" s="1"/>
  <c r="C252" i="4"/>
  <c r="B252" i="4" s="1"/>
  <c r="C277" i="4"/>
  <c r="B277" i="4" s="1"/>
  <c r="C21" i="4"/>
  <c r="B21" i="4" s="1"/>
  <c r="C236" i="4"/>
  <c r="B236" i="4" s="1"/>
  <c r="C28" i="4"/>
  <c r="B28" i="4" s="1"/>
  <c r="C27" i="4"/>
  <c r="B27" i="4" s="1"/>
  <c r="C40" i="4"/>
  <c r="B40" i="4" s="1"/>
  <c r="C158" i="4"/>
  <c r="B158" i="4" s="1"/>
  <c r="C53" i="4"/>
  <c r="B53" i="4" s="1"/>
  <c r="C43" i="4"/>
  <c r="B43" i="4" s="1"/>
  <c r="C8" i="4"/>
  <c r="B8" i="4" s="1"/>
  <c r="C290" i="4"/>
  <c r="B290" i="4" s="1"/>
  <c r="C142" i="4"/>
  <c r="B142" i="4" s="1"/>
  <c r="C213" i="4"/>
  <c r="B213" i="4" s="1"/>
  <c r="C247" i="4"/>
  <c r="B247" i="4" s="1"/>
  <c r="C57" i="4"/>
  <c r="B57" i="4" s="1"/>
  <c r="C127" i="4"/>
  <c r="B127" i="4" s="1"/>
  <c r="C135" i="4"/>
  <c r="B135" i="4" s="1"/>
  <c r="C250" i="4"/>
  <c r="B250" i="4" s="1"/>
  <c r="C273" i="4"/>
  <c r="B273" i="4" s="1"/>
  <c r="C144" i="4"/>
  <c r="B144" i="4" s="1"/>
  <c r="C126" i="4"/>
  <c r="B126" i="4" s="1"/>
  <c r="C130" i="4"/>
  <c r="B130" i="4" s="1"/>
  <c r="C117" i="4"/>
  <c r="B117" i="4" s="1"/>
  <c r="C132" i="4"/>
  <c r="B132" i="4" s="1"/>
  <c r="C232" i="4"/>
  <c r="B232" i="4" s="1"/>
  <c r="C119" i="4"/>
  <c r="B119" i="4" s="1"/>
  <c r="C60" i="4"/>
  <c r="B60" i="4" s="1"/>
  <c r="C295" i="4"/>
  <c r="B295" i="4" s="1"/>
  <c r="C202" i="4"/>
  <c r="B202" i="4" s="1"/>
  <c r="C228" i="4"/>
  <c r="B228" i="4" s="1"/>
  <c r="C138" i="4"/>
  <c r="B138" i="4" s="1"/>
  <c r="C129" i="4"/>
  <c r="B129" i="4" s="1"/>
  <c r="C107" i="4"/>
  <c r="B107" i="4" s="1"/>
  <c r="C245" i="4"/>
  <c r="B245" i="4" s="1"/>
  <c r="C128" i="4"/>
  <c r="B128" i="4" s="1"/>
  <c r="C78" i="4"/>
  <c r="B78" i="4" s="1"/>
  <c r="C123" i="4"/>
  <c r="B123" i="4" s="1"/>
  <c r="C121" i="4"/>
  <c r="B121" i="4" s="1"/>
  <c r="C115" i="4"/>
  <c r="B115" i="4" s="1"/>
  <c r="C118" i="4"/>
  <c r="B118" i="4" s="1"/>
  <c r="C131" i="4"/>
  <c r="B131" i="4" s="1"/>
  <c r="C46" i="4"/>
  <c r="B46" i="4" s="1"/>
  <c r="C221" i="4"/>
  <c r="B221" i="4" s="1"/>
  <c r="C258" i="4"/>
  <c r="B258" i="4" s="1"/>
  <c r="C244" i="4"/>
  <c r="B244" i="4" s="1"/>
  <c r="C220" i="4"/>
  <c r="B220" i="4" s="1"/>
  <c r="C257" i="4"/>
  <c r="B257" i="4" s="1"/>
  <c r="C278" i="4"/>
  <c r="B278" i="4" s="1"/>
  <c r="C122" i="4"/>
  <c r="B122" i="4" s="1"/>
  <c r="C292" i="4"/>
  <c r="B292" i="4" s="1"/>
  <c r="C137" i="4"/>
  <c r="B137" i="4" s="1"/>
  <c r="C212" i="4"/>
  <c r="B212" i="4" s="1"/>
  <c r="C120" i="4"/>
  <c r="B120" i="4" s="1"/>
  <c r="C216" i="4"/>
  <c r="B216" i="4" s="1"/>
  <c r="C294" i="4"/>
  <c r="B294" i="4" s="1"/>
  <c r="C87" i="4"/>
  <c r="B87" i="4" s="1"/>
  <c r="C84" i="4"/>
  <c r="B84" i="4" s="1"/>
  <c r="C253" i="4"/>
  <c r="B253" i="4" s="1"/>
  <c r="C124" i="4"/>
  <c r="B124" i="4" s="1"/>
  <c r="C116" i="4"/>
  <c r="B116" i="4" s="1"/>
  <c r="C64" i="4"/>
  <c r="B64" i="4" s="1"/>
  <c r="C260" i="4"/>
  <c r="B260" i="4" s="1"/>
  <c r="C214" i="4"/>
  <c r="B214" i="4" s="1"/>
  <c r="C187" i="4"/>
  <c r="B187" i="4" s="1"/>
  <c r="C166" i="4"/>
  <c r="B166" i="4" s="1"/>
  <c r="C150" i="4"/>
  <c r="B150" i="4" s="1"/>
  <c r="C208" i="4"/>
  <c r="B208" i="4" s="1"/>
  <c r="C161" i="4"/>
  <c r="B161" i="4" s="1"/>
  <c r="C105" i="4"/>
  <c r="B105" i="4" s="1"/>
  <c r="C99" i="4"/>
  <c r="B99" i="4" s="1"/>
  <c r="C172" i="4"/>
  <c r="B172" i="4" s="1"/>
  <c r="C61" i="4"/>
  <c r="B61" i="4" s="1"/>
  <c r="C238" i="4"/>
  <c r="B238" i="4" s="1"/>
  <c r="C104" i="4"/>
  <c r="B104" i="4" s="1"/>
  <c r="C274" i="4"/>
  <c r="B274" i="4" s="1"/>
  <c r="C162" i="4"/>
  <c r="B162" i="4" s="1"/>
  <c r="C155" i="4"/>
  <c r="B155" i="4" s="1"/>
  <c r="C242" i="4"/>
  <c r="B242" i="4" s="1"/>
  <c r="C167" i="4"/>
  <c r="B167" i="4" s="1"/>
  <c r="C50" i="4"/>
  <c r="B50" i="4" s="1"/>
  <c r="C248" i="4"/>
  <c r="B248" i="4" s="1"/>
  <c r="C88" i="4"/>
  <c r="B88" i="4" s="1"/>
  <c r="C280" i="4"/>
  <c r="B280" i="4" s="1"/>
  <c r="C279" i="4"/>
  <c r="B279" i="4" s="1"/>
  <c r="C174" i="4"/>
  <c r="B174" i="4" s="1"/>
  <c r="C267" i="4"/>
  <c r="B267" i="4" s="1"/>
  <c r="C298" i="4"/>
  <c r="B298" i="4" s="1"/>
  <c r="C217" i="4"/>
  <c r="B217" i="4" s="1"/>
  <c r="C48" i="4"/>
  <c r="B48" i="4" s="1"/>
  <c r="C261" i="4"/>
  <c r="B261" i="4" s="1"/>
  <c r="C163" i="4"/>
  <c r="B163" i="4" s="1"/>
  <c r="B4" i="4"/>
  <c r="C102" i="4"/>
  <c r="B102" i="4" s="1"/>
  <c r="C101" i="4"/>
  <c r="B101" i="4" s="1"/>
  <c r="C98" i="4"/>
  <c r="B98" i="4" s="1"/>
  <c r="C184" i="4"/>
  <c r="B184" i="4" s="1"/>
  <c r="C218" i="4"/>
  <c r="B218" i="4" s="1"/>
  <c r="C103" i="4"/>
  <c r="B103" i="4" s="1"/>
  <c r="C206" i="4"/>
  <c r="B206" i="4" s="1"/>
  <c r="C263" i="4"/>
  <c r="B263" i="4" s="1"/>
  <c r="C207" i="4"/>
  <c r="B207" i="4" s="1"/>
  <c r="C90" i="4"/>
  <c r="B90" i="4" s="1"/>
  <c r="C89" i="4"/>
  <c r="B89" i="4" s="1"/>
  <c r="C83" i="4"/>
  <c r="B83" i="4" s="1"/>
  <c r="C93" i="4"/>
  <c r="B93" i="4" s="1"/>
  <c r="C92" i="4"/>
  <c r="B92" i="4" s="1"/>
  <c r="C262" i="4"/>
  <c r="B262" i="4" s="1"/>
  <c r="C265" i="4"/>
  <c r="B265" i="4" s="1"/>
  <c r="C151" i="4"/>
  <c r="B151" i="4" s="1"/>
  <c r="C231" i="4"/>
  <c r="B231" i="4" s="1"/>
  <c r="C241" i="4"/>
  <c r="B241" i="4" s="1"/>
  <c r="C185" i="4"/>
  <c r="B185" i="4" s="1"/>
  <c r="C233" i="4"/>
  <c r="B233" i="4" s="1"/>
  <c r="C272" i="4"/>
  <c r="B272" i="4" s="1"/>
  <c r="C188" i="4"/>
  <c r="B188" i="4" s="1"/>
  <c r="C77" i="4"/>
  <c r="B77" i="4" s="1"/>
  <c r="C91" i="4"/>
  <c r="B91" i="4" s="1"/>
  <c r="C259" i="4"/>
  <c r="B259" i="4" s="1"/>
  <c r="C100" i="4"/>
  <c r="B100" i="4" s="1"/>
  <c r="C199" i="4"/>
  <c r="B199" i="4" s="1"/>
  <c r="C195" i="4"/>
  <c r="B195" i="4" s="1"/>
  <c r="C198" i="4"/>
  <c r="B198" i="4" s="1"/>
  <c r="C200" i="4"/>
  <c r="B200" i="4" s="1"/>
  <c r="C193" i="4"/>
  <c r="B193" i="4" s="1"/>
  <c r="C189" i="4"/>
  <c r="B189" i="4" s="1"/>
  <c r="C192" i="4"/>
  <c r="B192" i="4" s="1"/>
  <c r="C210" i="4"/>
  <c r="B210" i="4" s="1"/>
  <c r="C194" i="4"/>
  <c r="B194" i="4" s="1"/>
  <c r="C255" i="4"/>
  <c r="B255" i="4" s="1"/>
  <c r="C190" i="4"/>
  <c r="B190" i="4" s="1"/>
  <c r="C196" i="4"/>
  <c r="B196" i="4" s="1"/>
  <c r="C254" i="4"/>
  <c r="B254" i="4" s="1"/>
  <c r="C197" i="4"/>
  <c r="B197" i="4" s="1"/>
  <c r="C191" i="4"/>
  <c r="B191" i="4" s="1"/>
  <c r="C201" i="4"/>
  <c r="B201" i="4" s="1"/>
  <c r="C296" i="4"/>
  <c r="B296" i="4" s="1"/>
  <c r="C297" i="4"/>
  <c r="B297" i="4" s="1"/>
  <c r="C3" i="4"/>
  <c r="B3" i="4" s="1"/>
  <c r="C113" i="4"/>
  <c r="B113" i="4" s="1"/>
  <c r="A399" i="2" a="1"/>
  <c r="A399" i="2" s="1"/>
  <c r="A395" i="2" a="1"/>
  <c r="A395" i="2" s="1"/>
  <c r="A376" i="2" a="1"/>
  <c r="A376" i="2" s="1"/>
  <c r="A362" i="2" a="1"/>
  <c r="A362" i="2" s="1"/>
  <c r="A339" i="2" a="1"/>
  <c r="A339" i="2" s="1"/>
  <c r="A302" i="2" a="1"/>
  <c r="A302" i="2" s="1"/>
  <c r="A255" i="2" a="1"/>
  <c r="A255" i="2" s="1"/>
  <c r="A185" i="2" a="1"/>
  <c r="A185" i="2" s="1"/>
  <c r="A91" i="2" a="1"/>
  <c r="A91" i="2" s="1"/>
  <c r="A1" i="2" a="1"/>
  <c r="A1" i="2" s="1"/>
  <c r="A1" i="3" s="1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<sst xmlns="http://schemas.openxmlformats.org/spreadsheetml/2006/main" count="16873" uniqueCount="1820">
  <si>
    <t>denom</t>
  </si>
  <si>
    <t>Côtes du Rhône</t>
  </si>
  <si>
    <t>Buzet</t>
  </si>
  <si>
    <t>Coteaux d'Aix-en-Provence</t>
  </si>
  <si>
    <t>Côtes de Duras</t>
  </si>
  <si>
    <t>Côtes du Marmandais</t>
  </si>
  <si>
    <t>Bandol</t>
  </si>
  <si>
    <t>Ventoux</t>
  </si>
  <si>
    <t>Costières de Nîmes</t>
  </si>
  <si>
    <t>Gaillac</t>
  </si>
  <si>
    <t>Grignan-les-Adhémar</t>
  </si>
  <si>
    <t>Vin de Corse ou Corse</t>
  </si>
  <si>
    <t>Côtes de Provence</t>
  </si>
  <si>
    <t>Palette</t>
  </si>
  <si>
    <t>Patrimonio</t>
  </si>
  <si>
    <t>Luberon</t>
  </si>
  <si>
    <t>Clairette de Bellegarde</t>
  </si>
  <si>
    <t>Fronton</t>
  </si>
  <si>
    <t>Languedoc</t>
  </si>
  <si>
    <t>Muscat de Frontignan ou Frontignan ou Vin de Frontignan</t>
  </si>
  <si>
    <t>Coteaux varois en Provence</t>
  </si>
  <si>
    <t>Tavel</t>
  </si>
  <si>
    <t>Muscat de Mireval</t>
  </si>
  <si>
    <t>Brulhois</t>
  </si>
  <si>
    <t>Cahors</t>
  </si>
  <si>
    <t>Côtes du Vivarais</t>
  </si>
  <si>
    <t>Cabardès</t>
  </si>
  <si>
    <t>Quincy</t>
  </si>
  <si>
    <t>Entraygues - Le Fel</t>
  </si>
  <si>
    <t>Anjou</t>
  </si>
  <si>
    <t>Marcillac</t>
  </si>
  <si>
    <t>Malepère</t>
  </si>
  <si>
    <t>Saint-Pourçain</t>
  </si>
  <si>
    <t>Reuilly</t>
  </si>
  <si>
    <t>Pierrevert</t>
  </si>
  <si>
    <t>Irouléguy</t>
  </si>
  <si>
    <t>Saint-Sardos</t>
  </si>
  <si>
    <t>Tursan</t>
  </si>
  <si>
    <t>Sancerre</t>
  </si>
  <si>
    <t>Saint-Mont</t>
  </si>
  <si>
    <t>Valençay</t>
  </si>
  <si>
    <t>Cheverny</t>
  </si>
  <si>
    <t>Haut-Poitou</t>
  </si>
  <si>
    <t>Coteaux du Quercy</t>
  </si>
  <si>
    <t>Côtes du Forez</t>
  </si>
  <si>
    <t>Seyssel</t>
  </si>
  <si>
    <t>Coteaux du Lyonnais</t>
  </si>
  <si>
    <t>Menetou-Salon</t>
  </si>
  <si>
    <t>Orléans</t>
  </si>
  <si>
    <t>Estaing</t>
  </si>
  <si>
    <t>Bordeaux</t>
  </si>
  <si>
    <t>Bordeaux supérieur</t>
  </si>
  <si>
    <t>Crémant de Bordeaux</t>
  </si>
  <si>
    <t>Saint-Emilion</t>
  </si>
  <si>
    <t>Saint-Emilion grand cru</t>
  </si>
  <si>
    <t>Montagne-Saint-Emilion</t>
  </si>
  <si>
    <t>Bergerac</t>
  </si>
  <si>
    <t>Côtes de Bergerac</t>
  </si>
  <si>
    <t>Monbazillac</t>
  </si>
  <si>
    <t>Lussac-Saint-Emilion</t>
  </si>
  <si>
    <t>Haut-Médoc</t>
  </si>
  <si>
    <t>Médoc</t>
  </si>
  <si>
    <t>Saint-Estèphe</t>
  </si>
  <si>
    <t>Entre-deux-Mers</t>
  </si>
  <si>
    <t>Côtes du Roussillon</t>
  </si>
  <si>
    <t>Côtes du Roussillon Villages</t>
  </si>
  <si>
    <t>Grand Roussillon</t>
  </si>
  <si>
    <t>Muscat de Rivesaltes</t>
  </si>
  <si>
    <t>Rivesaltes</t>
  </si>
  <si>
    <t>Saint-Julien</t>
  </si>
  <si>
    <t>Bordeaux Haut-Benauge</t>
  </si>
  <si>
    <t>Entre-deux-Mers Haut-Benauge</t>
  </si>
  <si>
    <t>Graves</t>
  </si>
  <si>
    <t>Graves supérieures</t>
  </si>
  <si>
    <t>Côtes de Bourg</t>
  </si>
  <si>
    <t xml:space="preserve"> Bourg et Bourgeais</t>
  </si>
  <si>
    <t>Pauillac</t>
  </si>
  <si>
    <t>Côtes de Bordeaux</t>
  </si>
  <si>
    <t>Côtes de Bordeaux Castillon</t>
  </si>
  <si>
    <t>Barsac</t>
  </si>
  <si>
    <t>Sauternes</t>
  </si>
  <si>
    <t>Ajaccio</t>
  </si>
  <si>
    <t>Cadillac</t>
  </si>
  <si>
    <t>Côtes de Bordeaux Cadillac</t>
  </si>
  <si>
    <t>Premières Côtes de Bordeaux</t>
  </si>
  <si>
    <t>Lalande-de-Pomerol</t>
  </si>
  <si>
    <t>Sainte-Croix-du-Mont</t>
  </si>
  <si>
    <t>Côtes du Rhône Villages</t>
  </si>
  <si>
    <t>Côtes du Rhône Villages Saint-Maurice</t>
  </si>
  <si>
    <t>Cérons</t>
  </si>
  <si>
    <t>Pomerol</t>
  </si>
  <si>
    <t>Côtes du Roussillon Villages Caramany</t>
  </si>
  <si>
    <t>Côtes de Bordeaux-Saint-Macaire</t>
  </si>
  <si>
    <t>Blaye</t>
  </si>
  <si>
    <t>Côtes de Blaye</t>
  </si>
  <si>
    <t>Côtes de Bordeaux Blaye</t>
  </si>
  <si>
    <t>Corbières</t>
  </si>
  <si>
    <t>Loupiac</t>
  </si>
  <si>
    <t>Graves de Vayres</t>
  </si>
  <si>
    <t>Rosette</t>
  </si>
  <si>
    <t>Alsace</t>
  </si>
  <si>
    <t>Alsace suivi d'un nom de lieu-dit</t>
  </si>
  <si>
    <t>Crémant d’Alsace</t>
  </si>
  <si>
    <t>Listrac-Médoc</t>
  </si>
  <si>
    <t>Saussignac</t>
  </si>
  <si>
    <t>Muscat du Cap Corse</t>
  </si>
  <si>
    <t>Moulis ou Moulis-en-Médoc</t>
  </si>
  <si>
    <t>Vin de Corse ou Corse Figari</t>
  </si>
  <si>
    <t>Vin de Corse Sartène ou Corse Sartène</t>
  </si>
  <si>
    <t>Clairette de Die</t>
  </si>
  <si>
    <t>Coteaux de Die</t>
  </si>
  <si>
    <t>Crémant de Die</t>
  </si>
  <si>
    <t>Fronsac</t>
  </si>
  <si>
    <t>Pessac-Léognan</t>
  </si>
  <si>
    <t>Côtes du Rhône Villages Saint-Gervais</t>
  </si>
  <si>
    <t>Vin de Corse Calvi ou Corse Calvi</t>
  </si>
  <si>
    <t>Côtes de Bordeaux Francs</t>
  </si>
  <si>
    <t>Les Baux de Provence</t>
  </si>
  <si>
    <t>Margaux</t>
  </si>
  <si>
    <t>Saint-Georges-Saint-Emilion</t>
  </si>
  <si>
    <t>Côtes du Rhône Villages Signargues</t>
  </si>
  <si>
    <t>Clairette du Languedoc</t>
  </si>
  <si>
    <t>Clairette du Languedoc Cabrières</t>
  </si>
  <si>
    <t>Chablis</t>
  </si>
  <si>
    <t>Crémant de Bourgogne</t>
  </si>
  <si>
    <t>Petit Chablis</t>
  </si>
  <si>
    <t>Crémant de Limoux</t>
  </si>
  <si>
    <t>Limoux</t>
  </si>
  <si>
    <t>Côtes du Rhône Villages Laudun</t>
  </si>
  <si>
    <t>Maury</t>
  </si>
  <si>
    <t>Minervois</t>
  </si>
  <si>
    <t>Côtes du Rhône Villages Valréas</t>
  </si>
  <si>
    <t>Pécharmant</t>
  </si>
  <si>
    <t>Côtes du Rhône Villages Plan de Dieu</t>
  </si>
  <si>
    <t>Lirac</t>
  </si>
  <si>
    <t>Saint-Péray</t>
  </si>
  <si>
    <t>Puisseguin-Saint-Emilion</t>
  </si>
  <si>
    <t>Vin de Corse Coteaux du Cap Corse ou Corse Coteaux du Cap Corse</t>
  </si>
  <si>
    <t>Bourgogne</t>
  </si>
  <si>
    <t>Bourgogne Passe-tout-grains</t>
  </si>
  <si>
    <t>Bourgogne aligoté</t>
  </si>
  <si>
    <t>Bourgogne mousseux</t>
  </si>
  <si>
    <t>Coteaux Bourguignons ou Bourgogne grand ordinaire ou Bourgogne ordinaire</t>
  </si>
  <si>
    <t>Mâcon</t>
  </si>
  <si>
    <t>Mâcon Verzé</t>
  </si>
  <si>
    <t>Mâcon Villages</t>
  </si>
  <si>
    <t>Canon Fronsac</t>
  </si>
  <si>
    <t>Vinsobres</t>
  </si>
  <si>
    <t>Faugères</t>
  </si>
  <si>
    <t>Châtillon-en-Diois</t>
  </si>
  <si>
    <t>Mâcon La Roche-Vineuse</t>
  </si>
  <si>
    <t>Crémant du Jura</t>
  </si>
  <si>
    <t>Côtes du Jura</t>
  </si>
  <si>
    <t>Macvin du Jura</t>
  </si>
  <si>
    <t>Cornas</t>
  </si>
  <si>
    <t>Béarn</t>
  </si>
  <si>
    <t>Madiran</t>
  </si>
  <si>
    <t>Pacherenc du Vic-Bilh</t>
  </si>
  <si>
    <t>Côtes du Roussillon Villages Tautavel</t>
  </si>
  <si>
    <t>Vin de Corse Porto-Vecchio ou Corse Porto-Vecchio</t>
  </si>
  <si>
    <t>Saint-Chinian</t>
  </si>
  <si>
    <t>Mâcon Azé</t>
  </si>
  <si>
    <t>Beaujolais</t>
  </si>
  <si>
    <t>Beaujolais Le Perréon</t>
  </si>
  <si>
    <t>Beaujolais Villages</t>
  </si>
  <si>
    <t>Crozes-Hermitage ou Crozes-Ermitage</t>
  </si>
  <si>
    <t>Chinon</t>
  </si>
  <si>
    <t>Crémant de Loire</t>
  </si>
  <si>
    <t>Rosé de Loire</t>
  </si>
  <si>
    <t>Touraine</t>
  </si>
  <si>
    <t>Côtes du Rhône Villages Séguret</t>
  </si>
  <si>
    <t>Côtes de Montravel</t>
  </si>
  <si>
    <t>Haut-Montravel</t>
  </si>
  <si>
    <t>Montravel</t>
  </si>
  <si>
    <t>Arbois</t>
  </si>
  <si>
    <t>Chablis premier cru</t>
  </si>
  <si>
    <t>Fitou</t>
  </si>
  <si>
    <t>Côtes de Provence Sainte-Victoire</t>
  </si>
  <si>
    <t>Pic Saint-Loup</t>
  </si>
  <si>
    <t>Beaujolais Odenas</t>
  </si>
  <si>
    <t>Brouilly</t>
  </si>
  <si>
    <t>Rasteau Vin Doux Naturel</t>
  </si>
  <si>
    <t>Côtes du Rhône Villages Saint-Pantaléon-les-Vignes</t>
  </si>
  <si>
    <t>Banyuls</t>
  </si>
  <si>
    <t>Banyuls grand cru</t>
  </si>
  <si>
    <t>Collioure</t>
  </si>
  <si>
    <t>Côtes du Rhône Villages Sablet</t>
  </si>
  <si>
    <t>Bourgueil</t>
  </si>
  <si>
    <t>Côtes du Rhône Villages Rochegude</t>
  </si>
  <si>
    <t>Arbois Pupillin</t>
  </si>
  <si>
    <t>Languedoc Quatourze</t>
  </si>
  <si>
    <t>Bourgogne Chitry</t>
  </si>
  <si>
    <t>Côtes du Rhône Villages Chusclan</t>
  </si>
  <si>
    <t>Beaumes de Venise</t>
  </si>
  <si>
    <t>Muscat de Beaumes-de-Venise</t>
  </si>
  <si>
    <t>Châteauneuf-du-Pape</t>
  </si>
  <si>
    <t>Gigondas</t>
  </si>
  <si>
    <t>Bourgogne Hautes Côtes de Nuits</t>
  </si>
  <si>
    <t>Vin de Savoie ou Savoie</t>
  </si>
  <si>
    <t>Mâcon Igé</t>
  </si>
  <si>
    <t>Corbières-Boutenac</t>
  </si>
  <si>
    <t>Côtes du Rhône Villages Massif d'Uchaux</t>
  </si>
  <si>
    <t>Bourgogne Côte Chalonnaise</t>
  </si>
  <si>
    <t>Mercurey</t>
  </si>
  <si>
    <t>Côtes du Rhône Villages Suze-la-Rousse</t>
  </si>
  <si>
    <t>Côtes du Roussillon Villages Les Aspres</t>
  </si>
  <si>
    <t>Mâcon Lugny</t>
  </si>
  <si>
    <t>Cabernet d'Anjou</t>
  </si>
  <si>
    <t>Rosé d'Anjou</t>
  </si>
  <si>
    <t>Saumur</t>
  </si>
  <si>
    <t>Bourgogne Côtes d'Auxerre</t>
  </si>
  <si>
    <t>Saint-Bris</t>
  </si>
  <si>
    <t>Mâcon Bray</t>
  </si>
  <si>
    <t>Saint-Chinian Roquebrun</t>
  </si>
  <si>
    <t>Pouilly-Fumé ou Blanc Fumé de Pouilly</t>
  </si>
  <si>
    <t>Pouilly-sur-Loire</t>
  </si>
  <si>
    <t>Côtes du Rhône Villages Sainte-Cécile</t>
  </si>
  <si>
    <t>Rasteau</t>
  </si>
  <si>
    <t>Cour-Cheverny</t>
  </si>
  <si>
    <t>Anjou Villages</t>
  </si>
  <si>
    <t>Coteaux du Layon</t>
  </si>
  <si>
    <t>Coteaux du Layon Faye-d'Anjou ou Faye</t>
  </si>
  <si>
    <t>Cairanne</t>
  </si>
  <si>
    <t>Mâcon Serrières</t>
  </si>
  <si>
    <t>Mâcon Mancey</t>
  </si>
  <si>
    <t>Languedoc Saint-Georges-d'Orques</t>
  </si>
  <si>
    <t>Mâcon Saint-Gengoux-le-National</t>
  </si>
  <si>
    <t>Bourgogne Côtes du Couchois</t>
  </si>
  <si>
    <t>Languedoc Saint-Saturnin</t>
  </si>
  <si>
    <t>Gros Plant du Pays Nantais</t>
  </si>
  <si>
    <t>Muscadet</t>
  </si>
  <si>
    <t>Muscadet Sèvre et Maine</t>
  </si>
  <si>
    <t>Saint-Chinian Berlou</t>
  </si>
  <si>
    <t>Touraine Chenonceaux</t>
  </si>
  <si>
    <t>Languedoc La Méjanelle</t>
  </si>
  <si>
    <t>Côtes du Rhône Villages Rousset-les-Vignes</t>
  </si>
  <si>
    <t>Touraine Azay-le-Rideau</t>
  </si>
  <si>
    <t>Roussette de Savoie</t>
  </si>
  <si>
    <t>Vin de Savoie Chignin-Bergeron</t>
  </si>
  <si>
    <t>Vin de Savoie Montmélian</t>
  </si>
  <si>
    <t>Bourgogne Hautes Côtes de Beaune</t>
  </si>
  <si>
    <t>Montlouis-sur-Loire</t>
  </si>
  <si>
    <t>Clairette du Languedoc Lieuran-Cabrières</t>
  </si>
  <si>
    <t>Beaujolais Saint-Etienne-des-Oullières</t>
  </si>
  <si>
    <t>Orléans-Cléry</t>
  </si>
  <si>
    <t>Languedoc Grès de Montpellier</t>
  </si>
  <si>
    <t>Clairette du Languedoc Le Bosc</t>
  </si>
  <si>
    <t>Beaujolais Quincié-en-Beaujolais</t>
  </si>
  <si>
    <t>Languedoc Montpeyroux</t>
  </si>
  <si>
    <t>Terrasses du Larzac</t>
  </si>
  <si>
    <t>Clairette du Languedoc Aspiran</t>
  </si>
  <si>
    <t>Saint-Joseph</t>
  </si>
  <si>
    <t>La Clape</t>
  </si>
  <si>
    <t>Mâcon Milly-Lamartine</t>
  </si>
  <si>
    <t>Beaujolais Beaujeu</t>
  </si>
  <si>
    <t>Côtes du Roussillon Villages Lesquerde</t>
  </si>
  <si>
    <t>Clairette du Languedoc Péret</t>
  </si>
  <si>
    <t>Minervois-La Livinière</t>
  </si>
  <si>
    <t>Languedoc Cabrières</t>
  </si>
  <si>
    <t>Alsace grand cru Mambourg</t>
  </si>
  <si>
    <t>Côtes du Rhône Villages Roaix</t>
  </si>
  <si>
    <t>Jurançon</t>
  </si>
  <si>
    <t>Saint-Nicolas-de-Bourgueil</t>
  </si>
  <si>
    <t>Beaujolais Lantignié</t>
  </si>
  <si>
    <t>Rully</t>
  </si>
  <si>
    <t>Roussette de Savoie Frangy</t>
  </si>
  <si>
    <t>Vin de Savoie Ripaille</t>
  </si>
  <si>
    <t>Coteaux de Saumur</t>
  </si>
  <si>
    <t>Vouvray</t>
  </si>
  <si>
    <t>Coteaux du Layon Beaulieu-sur-Layon ou Beaulieu</t>
  </si>
  <si>
    <t>Beaujolais La Chapelle-de-Guinchay</t>
  </si>
  <si>
    <t>Morgon</t>
  </si>
  <si>
    <t>Mâcon Péronne</t>
  </si>
  <si>
    <t>Picpoul de Pinet</t>
  </si>
  <si>
    <t>Beaujolais Vaux-en-Beaujolais</t>
  </si>
  <si>
    <t>Mâcon Chardonnay</t>
  </si>
  <si>
    <t>Beaujolais Saint-Lager</t>
  </si>
  <si>
    <t>Côte de Brouilly</t>
  </si>
  <si>
    <t>Bourgogne Côte d'Or</t>
  </si>
  <si>
    <t>Clos de Vougeot ou Clos Vougeot</t>
  </si>
  <si>
    <t>Vougeot</t>
  </si>
  <si>
    <t>Vougeot premier cru</t>
  </si>
  <si>
    <t>Gaillac premières côtes</t>
  </si>
  <si>
    <t>Bugey</t>
  </si>
  <si>
    <t>Bugey Cerdon</t>
  </si>
  <si>
    <t>Roussette du Bugey</t>
  </si>
  <si>
    <t>Côtes du Rhône Villages Saint-Andéol</t>
  </si>
  <si>
    <t>Bourgogne Epineuil</t>
  </si>
  <si>
    <t>Bourgogne Tonnerre</t>
  </si>
  <si>
    <t>Alsace grand cru Schlossberg</t>
  </si>
  <si>
    <t>Coteaux du Layon Saint-Aubin-de-Luigné ou Saint-Aubin</t>
  </si>
  <si>
    <t>Vin de Savoie Apremont</t>
  </si>
  <si>
    <t>Coteaux du Layon Rochefort-sur-Loire ou Rochefort</t>
  </si>
  <si>
    <t>Coteaux du Layon premier cru Chaume</t>
  </si>
  <si>
    <t>Côtes du Rhône Villages Gadagne</t>
  </si>
  <si>
    <t>Chablis premier cru Vaucoupin</t>
  </si>
  <si>
    <t>map_Appelations</t>
  </si>
  <si>
    <t>cave_Appelations</t>
  </si>
  <si>
    <t>Appelation</t>
  </si>
  <si>
    <t>Région</t>
  </si>
  <si>
    <t>ID_Appelation</t>
  </si>
  <si>
    <t>Riesling</t>
  </si>
  <si>
    <t>RIESLING</t>
  </si>
  <si>
    <t>Pinot Noir</t>
  </si>
  <si>
    <t>PINOT NOIR</t>
  </si>
  <si>
    <t>ALSACE</t>
  </si>
  <si>
    <t>Pinot Gris</t>
  </si>
  <si>
    <t>PINOT GRIS</t>
  </si>
  <si>
    <t>Crémant d'Alsace</t>
  </si>
  <si>
    <t>CREMANT D ALSACE</t>
  </si>
  <si>
    <t>Gewurztraminer</t>
  </si>
  <si>
    <t>GEWURZTRAMINER</t>
  </si>
  <si>
    <t>Sylvaner</t>
  </si>
  <si>
    <t>SYLVANER</t>
  </si>
  <si>
    <t>Alsace grand cru</t>
  </si>
  <si>
    <t>ALSACE GRAND CRU</t>
  </si>
  <si>
    <t>Saint Amour</t>
  </si>
  <si>
    <t>SAINT AMOUR</t>
  </si>
  <si>
    <t>Moulin-à-vent</t>
  </si>
  <si>
    <t>MOULIN A VENT</t>
  </si>
  <si>
    <t>Fleurie</t>
  </si>
  <si>
    <t>FLEURIE</t>
  </si>
  <si>
    <t>BROUILLY</t>
  </si>
  <si>
    <t>BEAUJOLAIS</t>
  </si>
  <si>
    <t>Juliénas</t>
  </si>
  <si>
    <t>JULIENAS</t>
  </si>
  <si>
    <t>MORGON</t>
  </si>
  <si>
    <t>Régnié</t>
  </si>
  <si>
    <t>REGNIE</t>
  </si>
  <si>
    <t>Chiroubles</t>
  </si>
  <si>
    <t>CHIROUBLES</t>
  </si>
  <si>
    <t>Chénas</t>
  </si>
  <si>
    <t>CHENAS</t>
  </si>
  <si>
    <t>Bourgogne blanc</t>
  </si>
  <si>
    <t>BOURGOGNE BLANC</t>
  </si>
  <si>
    <t>Côtes de Brouilly</t>
  </si>
  <si>
    <t>COTES DE BROUILLY</t>
  </si>
  <si>
    <t>Beaujolais-Villages</t>
  </si>
  <si>
    <t>BEAUJOLAIS VILLAGES</t>
  </si>
  <si>
    <t>GRAVES SUPERIEURES</t>
  </si>
  <si>
    <t>SAINTE CROIX DU MONT</t>
  </si>
  <si>
    <t>FRONSAC</t>
  </si>
  <si>
    <t>COTES DE BORDEAUX</t>
  </si>
  <si>
    <t>SAINT GEORGES SAINT EMILION</t>
  </si>
  <si>
    <t>BLAYE</t>
  </si>
  <si>
    <t>SAINT EMILION</t>
  </si>
  <si>
    <t>COTES DE BORDEAUX SAINT MACAIRE</t>
  </si>
  <si>
    <t>SAUTERNES</t>
  </si>
  <si>
    <t>LUSSAC SAINT EMILION</t>
  </si>
  <si>
    <t>BORDEAUX SUPERIEUR</t>
  </si>
  <si>
    <t>MARGAUX</t>
  </si>
  <si>
    <t>CERONS</t>
  </si>
  <si>
    <t>MEDOC</t>
  </si>
  <si>
    <t>Lalande de Pomerol</t>
  </si>
  <si>
    <t>LALANDE DE POMEROL</t>
  </si>
  <si>
    <t>Moulis</t>
  </si>
  <si>
    <t>MOULIS</t>
  </si>
  <si>
    <t>LOUPIAC</t>
  </si>
  <si>
    <t>GRAVES</t>
  </si>
  <si>
    <t>Neac</t>
  </si>
  <si>
    <t>NEAC</t>
  </si>
  <si>
    <t>POMEROL</t>
  </si>
  <si>
    <t>Côtes de Bourg, Bourg et Bourgeais</t>
  </si>
  <si>
    <t>COTES DE BOURG, BOURG ET BOURGEAIS</t>
  </si>
  <si>
    <t>COTES DE BLAYE</t>
  </si>
  <si>
    <t>BORDEAUX</t>
  </si>
  <si>
    <t>MONTAGNE SAINT EMILION</t>
  </si>
  <si>
    <t>BARSAC</t>
  </si>
  <si>
    <t>PESSAC LEOGNAN</t>
  </si>
  <si>
    <t>HAUT MEDOC</t>
  </si>
  <si>
    <t>PUISSEGUIN SAINT EMILION</t>
  </si>
  <si>
    <t>ENTRE DEUX MERS</t>
  </si>
  <si>
    <t>SAINT JULIEN</t>
  </si>
  <si>
    <t>SAINT EMILION GRAND CRU</t>
  </si>
  <si>
    <t>CREMANT DE BORDEAUX</t>
  </si>
  <si>
    <t>SAINT ESTEPHE</t>
  </si>
  <si>
    <t>Sainte-Foy-Bordeaux</t>
  </si>
  <si>
    <t>SAINTE FOY BORDEAUX</t>
  </si>
  <si>
    <t>PAUILLAC</t>
  </si>
  <si>
    <t>PREMIERES COTES DE BORDEAUX</t>
  </si>
  <si>
    <t>GRAVES DE VAYRES</t>
  </si>
  <si>
    <t>CADILLAC</t>
  </si>
  <si>
    <t>Listrac</t>
  </si>
  <si>
    <t>LISTRAC</t>
  </si>
  <si>
    <t>CANON FRONSAC</t>
  </si>
  <si>
    <t>Mazoyères-Chambertin</t>
  </si>
  <si>
    <t>MAZOYERES CHAMBERTIN</t>
  </si>
  <si>
    <t>Grands-Echezeaux</t>
  </si>
  <si>
    <t>GRANDS ECHEZEAUX</t>
  </si>
  <si>
    <t>BOURGOGNE ALIGOTE</t>
  </si>
  <si>
    <t>La Grande Rue</t>
  </si>
  <si>
    <t>LA GRANDE RUE</t>
  </si>
  <si>
    <t>MACON</t>
  </si>
  <si>
    <t>BOURGOGNE MOUSSEUX</t>
  </si>
  <si>
    <t>PETIT CHABLIS</t>
  </si>
  <si>
    <t>Pommard</t>
  </si>
  <si>
    <t>POMMARD</t>
  </si>
  <si>
    <t>Pernand-Vergelesses 1er Cru</t>
  </si>
  <si>
    <t>PERNAND VERGELESSES 1ER CRU</t>
  </si>
  <si>
    <t>Pernand-Vergelesses</t>
  </si>
  <si>
    <t>PERNAND VERGELESSES</t>
  </si>
  <si>
    <t>Musigny</t>
  </si>
  <si>
    <t>MUSIGNY</t>
  </si>
  <si>
    <t>Chassagne-Montrachet</t>
  </si>
  <si>
    <t>CHASSAGNE MONTRACHET</t>
  </si>
  <si>
    <t>BOURGOGNE</t>
  </si>
  <si>
    <t>Charmes-Chambertin</t>
  </si>
  <si>
    <t>CHARMES CHAMBERTIN</t>
  </si>
  <si>
    <t>Chassagne-Montrachet 1er Cru</t>
  </si>
  <si>
    <t>CHASSAGNE MONTRACHET 1ER CRU</t>
  </si>
  <si>
    <t>Charlemagne</t>
  </si>
  <si>
    <t>CHARLEMAGNE</t>
  </si>
  <si>
    <t>Saint-Véran</t>
  </si>
  <si>
    <t>SAINT VERAN</t>
  </si>
  <si>
    <t>Bonnes-Mares</t>
  </si>
  <si>
    <t>BONNES MARES</t>
  </si>
  <si>
    <t>Chapelle-Chambertin</t>
  </si>
  <si>
    <t>CHAPELLE CHAMBERTIN</t>
  </si>
  <si>
    <t>Chambolle-Musigny 1er Cru</t>
  </si>
  <si>
    <t>CHAMBOLLE MUSIGNY 1ER CRU</t>
  </si>
  <si>
    <t>Richebourg</t>
  </si>
  <si>
    <t>RICHEBOURG</t>
  </si>
  <si>
    <t>Irancy</t>
  </si>
  <si>
    <t>IRANCY</t>
  </si>
  <si>
    <t>Bâtard-Montrachet</t>
  </si>
  <si>
    <t>BATARD MONTRACHET</t>
  </si>
  <si>
    <t>Bouzeron</t>
  </si>
  <si>
    <t>BOUZERON</t>
  </si>
  <si>
    <t>La Romanée</t>
  </si>
  <si>
    <t>LA ROMANEE</t>
  </si>
  <si>
    <t>Blagny</t>
  </si>
  <si>
    <t>BLAGNY</t>
  </si>
  <si>
    <t>Pouilly-Loché</t>
  </si>
  <si>
    <t>POUILLY LOCHE</t>
  </si>
  <si>
    <t>Chambertin-Clos de Bèze</t>
  </si>
  <si>
    <t>CHAMBERTIN CLOS DE BEZE</t>
  </si>
  <si>
    <t>Saint-Romain</t>
  </si>
  <si>
    <t>SAINT ROMAIN</t>
  </si>
  <si>
    <t>SAINT BRIS</t>
  </si>
  <si>
    <t>Santenay</t>
  </si>
  <si>
    <t>SANTENAY</t>
  </si>
  <si>
    <t>Chambolle-Musigny</t>
  </si>
  <si>
    <t>CHAMBOLLE MUSIGNY</t>
  </si>
  <si>
    <t>Corton-Charlemagne</t>
  </si>
  <si>
    <t>CORTON CHARLEMAGNE</t>
  </si>
  <si>
    <t>Romanée-Conti</t>
  </si>
  <si>
    <t>ROMANEE CONTI</t>
  </si>
  <si>
    <t>Savigny-lès-Beaune 1er Cru</t>
  </si>
  <si>
    <t>SAVIGNY LES BEAUNE 1ER CRU</t>
  </si>
  <si>
    <t>Ladoix 1er Cru</t>
  </si>
  <si>
    <t>LADOIX 1ER CRU</t>
  </si>
  <si>
    <t>Chambertin</t>
  </si>
  <si>
    <t>CHAMBERTIN</t>
  </si>
  <si>
    <t>La Tâche</t>
  </si>
  <si>
    <t>LA TACHE</t>
  </si>
  <si>
    <t>Chablis Grand Cru</t>
  </si>
  <si>
    <t>CHABLIS GRAND CRU</t>
  </si>
  <si>
    <t>Puligny-Montrachet</t>
  </si>
  <si>
    <t>PULIGNY MONTRACHET</t>
  </si>
  <si>
    <t>Givry</t>
  </si>
  <si>
    <t>GIVRY</t>
  </si>
  <si>
    <t>Saint-Aubin</t>
  </si>
  <si>
    <t>SAINT AUBIN</t>
  </si>
  <si>
    <t>Ruchottes-Chambertin</t>
  </si>
  <si>
    <t>RUCHOTTES CHAMBERTIN</t>
  </si>
  <si>
    <t>Ladoix</t>
  </si>
  <si>
    <t>LADOIX</t>
  </si>
  <si>
    <t>Fixin</t>
  </si>
  <si>
    <t>FIXIN</t>
  </si>
  <si>
    <t>Beaune</t>
  </si>
  <si>
    <t>BEAUNE</t>
  </si>
  <si>
    <t>Viré-Clessé</t>
  </si>
  <si>
    <t>VIRE CLESSE</t>
  </si>
  <si>
    <t>Nuits-Saint-Georges 1er Cru</t>
  </si>
  <si>
    <t>NUITS SAINT GEORGES 1ER CRU</t>
  </si>
  <si>
    <t>Chablis 1er Cru</t>
  </si>
  <si>
    <t>CHABLIS 1ER CRU</t>
  </si>
  <si>
    <t>RULLY</t>
  </si>
  <si>
    <t>Romanée-Saint-Vivant</t>
  </si>
  <si>
    <t>ROMANEE SAINT VIVANT</t>
  </si>
  <si>
    <t>Aloxe-Corton 1er Cru</t>
  </si>
  <si>
    <t>ALOXE CORTON 1ER CRU</t>
  </si>
  <si>
    <t>Bienvenues-Bâtard-Montrachet</t>
  </si>
  <si>
    <t>BIENVENUES BATARD MONTRACHET</t>
  </si>
  <si>
    <t>CHABLIS</t>
  </si>
  <si>
    <t>Chorey-lès-Beaune</t>
  </si>
  <si>
    <t>CHOREY LES BEAUNE</t>
  </si>
  <si>
    <t>Nuits-Saint-Georges</t>
  </si>
  <si>
    <t>NUITS SAINT GEORGES</t>
  </si>
  <si>
    <t>Morey-Saint-Denis 1er Cru</t>
  </si>
  <si>
    <t>MOREY SAINT DENIS 1ER CRU</t>
  </si>
  <si>
    <t>Montrachet</t>
  </si>
  <si>
    <t>MONTRACHET</t>
  </si>
  <si>
    <t>Chevalier-Montrachet</t>
  </si>
  <si>
    <t>CHEVALIER MONTRACHET</t>
  </si>
  <si>
    <t>Meursault</t>
  </si>
  <si>
    <t>MEURSAULT</t>
  </si>
  <si>
    <t>MERCUREY</t>
  </si>
  <si>
    <t>Mazis-Chambertin</t>
  </si>
  <si>
    <t>MAZIS CHAMBERTIN</t>
  </si>
  <si>
    <t>Maranges 1er Cru</t>
  </si>
  <si>
    <t>MARANGES 1ER CRU</t>
  </si>
  <si>
    <t>Latricières-Chambertin</t>
  </si>
  <si>
    <t>LATRICIERES CHAMBERTIN</t>
  </si>
  <si>
    <t>Santenay 1er Cru</t>
  </si>
  <si>
    <t>SANTENAY 1ER CRU</t>
  </si>
  <si>
    <t>BOURGOGNE PASSE TOUT GRAINS</t>
  </si>
  <si>
    <t>Beaune 1er Cru</t>
  </si>
  <si>
    <t>BEAUNE 1ER CRU</t>
  </si>
  <si>
    <t>Gevrey-Chambertin</t>
  </si>
  <si>
    <t>GEVREY CHAMBERTIN</t>
  </si>
  <si>
    <t>Echezeaux</t>
  </si>
  <si>
    <t>ECHEZEAUX</t>
  </si>
  <si>
    <t>Griotte-Chambertin</t>
  </si>
  <si>
    <t>GRIOTTE CHAMBERTIN</t>
  </si>
  <si>
    <t>Volnay</t>
  </si>
  <si>
    <t>VOLNAY</t>
  </si>
  <si>
    <t>Vosne-Romanée</t>
  </si>
  <si>
    <t>VOSNE ROMANEE</t>
  </si>
  <si>
    <t>Criots-Bâtard-Montrachet</t>
  </si>
  <si>
    <t>CRIOTS BATARD MONTRACHET</t>
  </si>
  <si>
    <t>Côte de Beaune-Villages</t>
  </si>
  <si>
    <t>COTE DE BEAUNE VILLAGES</t>
  </si>
  <si>
    <t>Aloxe-Corton</t>
  </si>
  <si>
    <t>ALOXE CORTON</t>
  </si>
  <si>
    <t>Morey-Saint-Denis</t>
  </si>
  <si>
    <t>MOREY SAINT DENIS</t>
  </si>
  <si>
    <t>Coteaux Bourguignons</t>
  </si>
  <si>
    <t>COTEAUX BOURGUIGNONS</t>
  </si>
  <si>
    <t>Montagny</t>
  </si>
  <si>
    <t>MONTAGNY</t>
  </si>
  <si>
    <t>Hautes Côtes de Nuits</t>
  </si>
  <si>
    <t>HAUTES COTES DE NUITS</t>
  </si>
  <si>
    <t>Côte de Beaune</t>
  </si>
  <si>
    <t>COTE DE BEAUNE</t>
  </si>
  <si>
    <t>Auxey-Duresses</t>
  </si>
  <si>
    <t>AUXEY DURESSES</t>
  </si>
  <si>
    <t>Corton</t>
  </si>
  <si>
    <t>CORTON</t>
  </si>
  <si>
    <t>CREMANT DE BOURGOGNE</t>
  </si>
  <si>
    <t>Maranges</t>
  </si>
  <si>
    <t>MARANGES</t>
  </si>
  <si>
    <t>Corton Grand Cru</t>
  </si>
  <si>
    <t>CORTON GRAND CRU</t>
  </si>
  <si>
    <t>Clos Saint-Denis</t>
  </si>
  <si>
    <t>CLOS SAINT DENIS</t>
  </si>
  <si>
    <t>Clos de la Roche</t>
  </si>
  <si>
    <t>CLOS DE LA ROCHE</t>
  </si>
  <si>
    <t>Clos des Lambrays</t>
  </si>
  <si>
    <t>CLOS DES LAMBRAYS</t>
  </si>
  <si>
    <t>Côte de Nuits-Villages</t>
  </si>
  <si>
    <t>COTE DE NUITS VILLAGES</t>
  </si>
  <si>
    <t>BOURGOGNE EPINEUIL</t>
  </si>
  <si>
    <t>Mâcon-Fuissé</t>
  </si>
  <si>
    <t>MACON FUISSE</t>
  </si>
  <si>
    <t>Clos de Vougeot</t>
  </si>
  <si>
    <t>CLOS DE VOUGEOT</t>
  </si>
  <si>
    <t>Savigny-lès-Beaune</t>
  </si>
  <si>
    <t>SAVIGNY LES BEAUNE</t>
  </si>
  <si>
    <t>Clos de Tart</t>
  </si>
  <si>
    <t>CLOS DE TART</t>
  </si>
  <si>
    <t>Pouilly-Vinzelles</t>
  </si>
  <si>
    <t>POUILLY VINZELLES</t>
  </si>
  <si>
    <t>Vosne-Romanée 1er Cru</t>
  </si>
  <si>
    <t>VOSNE ROMANEE 1ER CRU</t>
  </si>
  <si>
    <t>Monthélie</t>
  </si>
  <si>
    <t>MONTHELIE</t>
  </si>
  <si>
    <t>Pouilly-Fuissé</t>
  </si>
  <si>
    <t>POUILLY FUISSE</t>
  </si>
  <si>
    <t>Marsannay</t>
  </si>
  <si>
    <t>MARSANNAY</t>
  </si>
  <si>
    <t>Vougeot 1er Cru</t>
  </si>
  <si>
    <t>VOUGEOT 1ER CRU</t>
  </si>
  <si>
    <t>Champagne</t>
  </si>
  <si>
    <t>CHAMPAGNE</t>
  </si>
  <si>
    <t>Coteaux champenois</t>
  </si>
  <si>
    <t>COTEAUX CHAMPENOIS</t>
  </si>
  <si>
    <t>Rosé des Riceys</t>
  </si>
  <si>
    <t>ROSE DES RICEYS</t>
  </si>
  <si>
    <t>Cognac</t>
  </si>
  <si>
    <t>COGNAC</t>
  </si>
  <si>
    <t>Pineau des Charentes</t>
  </si>
  <si>
    <t>PINEAU DES CHARENTES</t>
  </si>
  <si>
    <t>Portugal</t>
  </si>
  <si>
    <t>Etranger</t>
  </si>
  <si>
    <t>PORTUGAL</t>
  </si>
  <si>
    <t>Allemagne</t>
  </si>
  <si>
    <t>ALLEMAGNE</t>
  </si>
  <si>
    <t>Italie</t>
  </si>
  <si>
    <t>ITALIE</t>
  </si>
  <si>
    <t>Argentine</t>
  </si>
  <si>
    <t>ARGENTINE</t>
  </si>
  <si>
    <t>Hongrie</t>
  </si>
  <si>
    <t>HONGRIE</t>
  </si>
  <si>
    <t>Espagne</t>
  </si>
  <si>
    <t>ESPAGNE</t>
  </si>
  <si>
    <t>Angleterre</t>
  </si>
  <si>
    <t>ANGLETERRE</t>
  </si>
  <si>
    <t>Chili</t>
  </si>
  <si>
    <t>CHILI</t>
  </si>
  <si>
    <t>Liban</t>
  </si>
  <si>
    <t>LIBAN</t>
  </si>
  <si>
    <t>Géorgie</t>
  </si>
  <si>
    <t>GEORGIE</t>
  </si>
  <si>
    <t>Australie</t>
  </si>
  <si>
    <t>AUSTRALIE</t>
  </si>
  <si>
    <t>Etats-Unis</t>
  </si>
  <si>
    <t>ETATS UNIS</t>
  </si>
  <si>
    <t>Afrique du Sud</t>
  </si>
  <si>
    <t>AFRIQUE DU SUD</t>
  </si>
  <si>
    <t>Jura</t>
  </si>
  <si>
    <t>MACVIN DU JURA</t>
  </si>
  <si>
    <t>ARBOIS</t>
  </si>
  <si>
    <t>CREMANT DU JURA</t>
  </si>
  <si>
    <t>Château-Chalon</t>
  </si>
  <si>
    <t>CHATEAU CHALON</t>
  </si>
  <si>
    <t>Le Moutherot - Franche Comté</t>
  </si>
  <si>
    <t>LE MOUTHEROT   FRANCHE COMTE</t>
  </si>
  <si>
    <t>COTES DU JURA</t>
  </si>
  <si>
    <t>L'Etoile</t>
  </si>
  <si>
    <t>L ETOILE</t>
  </si>
  <si>
    <t>RIVESALTES</t>
  </si>
  <si>
    <t>Côtes Catalanes</t>
  </si>
  <si>
    <t>COTES CATALANES</t>
  </si>
  <si>
    <t>Terasses du Larzac</t>
  </si>
  <si>
    <t>TERASSES DU LARZAC</t>
  </si>
  <si>
    <t>Pays d'Oc</t>
  </si>
  <si>
    <t>PAYS D OC</t>
  </si>
  <si>
    <t>Muscat de Saint-Jean-de-Minervois</t>
  </si>
  <si>
    <t>MUSCAT DE SAINT JEAN DE MINERVOIS</t>
  </si>
  <si>
    <t>Côteaux du Languedoc</t>
  </si>
  <si>
    <t>COTEAUX DU LANGUEDOC</t>
  </si>
  <si>
    <t>MUSCAT DE RIVESALTES</t>
  </si>
  <si>
    <t>MUSCAT DE MIREVAL</t>
  </si>
  <si>
    <t>Muscat de Lunel</t>
  </si>
  <si>
    <t>MUSCAT DE LUNEL</t>
  </si>
  <si>
    <t>COSTIERES DE NIMES</t>
  </si>
  <si>
    <t>Muscat de Frontignan</t>
  </si>
  <si>
    <t>MUSCAT DE FRONTIGNAN</t>
  </si>
  <si>
    <t>MINERVOIS LA LIVINIERE</t>
  </si>
  <si>
    <t>CLAIRETTE DE BELLEGARDE</t>
  </si>
  <si>
    <t>MINERVOIS</t>
  </si>
  <si>
    <t>CORBIERES BOUTENAC</t>
  </si>
  <si>
    <t>MAURY</t>
  </si>
  <si>
    <t>MALEPERE</t>
  </si>
  <si>
    <t>BANYULS GRAND CRU</t>
  </si>
  <si>
    <t>LIMOUX</t>
  </si>
  <si>
    <t>LANGUEDOC</t>
  </si>
  <si>
    <t>CORBIERES</t>
  </si>
  <si>
    <t>GRAND ROUSSILLON</t>
  </si>
  <si>
    <t>FITOU</t>
  </si>
  <si>
    <t>FAUGERES</t>
  </si>
  <si>
    <t>CLAIRETTE DU LANGUEDOC</t>
  </si>
  <si>
    <t>CABARDES</t>
  </si>
  <si>
    <t>CREMANT DE LIMOUX</t>
  </si>
  <si>
    <t>COLLIOURE</t>
  </si>
  <si>
    <t>BANYULS</t>
  </si>
  <si>
    <t>COTES DU ROUSSILLON VILLAGES</t>
  </si>
  <si>
    <t>COTES DU ROUSSILLON</t>
  </si>
  <si>
    <t>SAINT CHINIAN</t>
  </si>
  <si>
    <t>Muscadet Coteaux de la Loire</t>
  </si>
  <si>
    <t>Loire</t>
  </si>
  <si>
    <t>MUSCADET COTEAUX DE LA LOIRE</t>
  </si>
  <si>
    <t>CHINON</t>
  </si>
  <si>
    <t>MUSCADET</t>
  </si>
  <si>
    <t>MONTLOUIS SUR LOIRE</t>
  </si>
  <si>
    <t>Bonnezeaux</t>
  </si>
  <si>
    <t>BONNEZEAUX</t>
  </si>
  <si>
    <t>SANCERRE</t>
  </si>
  <si>
    <t>MENETOU SALON</t>
  </si>
  <si>
    <t>CHEVERNY</t>
  </si>
  <si>
    <t>Jasnières</t>
  </si>
  <si>
    <t>JASNIERES</t>
  </si>
  <si>
    <t>HAUT POITOU</t>
  </si>
  <si>
    <t>GROS PLANT DU PAYS NANTAIS</t>
  </si>
  <si>
    <t>Châteaumeillant</t>
  </si>
  <si>
    <t>CHATEAUMEILLANT</t>
  </si>
  <si>
    <t>Fiefs Vendéens</t>
  </si>
  <si>
    <t>FIEFS VENDEENS</t>
  </si>
  <si>
    <t>CREMANT DE LOIRE</t>
  </si>
  <si>
    <t>Anjou-Coteaux de la Loire</t>
  </si>
  <si>
    <t>ANJOU COTEAUX DE LA LOIRE</t>
  </si>
  <si>
    <t>ANJOU VILLAGES</t>
  </si>
  <si>
    <t>COUR CHEVERNY</t>
  </si>
  <si>
    <t>Cabernet de Saumur</t>
  </si>
  <si>
    <t>CABERNET DE SAUMUR</t>
  </si>
  <si>
    <t>COTES DU FOREZ</t>
  </si>
  <si>
    <t>Côtes d'Auvergne</t>
  </si>
  <si>
    <t>COTES D AUVERGNE</t>
  </si>
  <si>
    <t>Coteaux du Vendômois</t>
  </si>
  <si>
    <t>COTEAUX DU VENDOMOIS</t>
  </si>
  <si>
    <t>Coteaux du Loir</t>
  </si>
  <si>
    <t>COTEAUX DU LOIR</t>
  </si>
  <si>
    <t>ANJOU</t>
  </si>
  <si>
    <t>CABERNET D ANJOU</t>
  </si>
  <si>
    <t>COTEAUX DU LAYON</t>
  </si>
  <si>
    <t>Coteaux du Giennois</t>
  </si>
  <si>
    <t>COTEAUX DU GIENNOIS</t>
  </si>
  <si>
    <t>COTEAUX DE SAUMUR</t>
  </si>
  <si>
    <t>VOUVRAY</t>
  </si>
  <si>
    <t>VALENCAY</t>
  </si>
  <si>
    <t>Touraine Oisly</t>
  </si>
  <si>
    <t>TOURAINE OISLY</t>
  </si>
  <si>
    <t>Coteaux de l'Aubance</t>
  </si>
  <si>
    <t>COTEAUX DE L AUBANCE</t>
  </si>
  <si>
    <t>TOURAINE AZAY LE RIDEAU</t>
  </si>
  <si>
    <t>BOURGUEIL</t>
  </si>
  <si>
    <t>TOURAINE</t>
  </si>
  <si>
    <t>Savennières</t>
  </si>
  <si>
    <t>SAVENNIERES</t>
  </si>
  <si>
    <t>Saumur-Champigny</t>
  </si>
  <si>
    <t>SAUMUR CHAMPIGNY</t>
  </si>
  <si>
    <t>SAUMUR</t>
  </si>
  <si>
    <t>Coteaux d'Ancenis</t>
  </si>
  <si>
    <t>COTEAUX D ANCENIS</t>
  </si>
  <si>
    <t>SAINT POURCAIN</t>
  </si>
  <si>
    <t>SAINT NICOLAS DE BOURGUEIL</t>
  </si>
  <si>
    <t>ROSE DE LOIRE</t>
  </si>
  <si>
    <t>ROSE D ANJOU</t>
  </si>
  <si>
    <t>REUILLY</t>
  </si>
  <si>
    <t>QUINCY</t>
  </si>
  <si>
    <t>Quarts de Chaume</t>
  </si>
  <si>
    <t>QUARTS DE CHAUME</t>
  </si>
  <si>
    <t>POUILLY SUR LOIRE</t>
  </si>
  <si>
    <t>Pouilly-Fumé</t>
  </si>
  <si>
    <t>POUILLY FUME</t>
  </si>
  <si>
    <t>ORLEANS CLERY</t>
  </si>
  <si>
    <t>Côte roannaise</t>
  </si>
  <si>
    <t>COTE ROANNAISE</t>
  </si>
  <si>
    <t>Anjou Villages Brissac</t>
  </si>
  <si>
    <t>ANJOU VILLAGES BRISSAC</t>
  </si>
  <si>
    <t>Touraine Noble Joué</t>
  </si>
  <si>
    <t>TOURAINE NOBLE JOUE</t>
  </si>
  <si>
    <t>ORLEANS</t>
  </si>
  <si>
    <t>MUSCADET SEVRE ET MAINE</t>
  </si>
  <si>
    <t>Muscadet Côtes de Grandlieu</t>
  </si>
  <si>
    <t>MUSCADET COTES DE GRANDLIEU</t>
  </si>
  <si>
    <t>Moselle</t>
  </si>
  <si>
    <t>Lorraine</t>
  </si>
  <si>
    <t>MOSELLE</t>
  </si>
  <si>
    <t>Côtes de Toul</t>
  </si>
  <si>
    <t>COTES DE TOUL</t>
  </si>
  <si>
    <t>Porto</t>
  </si>
  <si>
    <t>PORTO</t>
  </si>
  <si>
    <t>Provence</t>
  </si>
  <si>
    <t>PATRIMONIO</t>
  </si>
  <si>
    <t>PALETTE</t>
  </si>
  <si>
    <t>MUSCAT DU CAP CORSE</t>
  </si>
  <si>
    <t>BANDOL</t>
  </si>
  <si>
    <t>Cassis</t>
  </si>
  <si>
    <t>CASSIS</t>
  </si>
  <si>
    <t>LES BAUX DE PROVENCE</t>
  </si>
  <si>
    <t>COTES DE PROVENCE</t>
  </si>
  <si>
    <t>Bellet</t>
  </si>
  <si>
    <t>BELLET</t>
  </si>
  <si>
    <t>AJACCIO</t>
  </si>
  <si>
    <t>COTEAUX VAROIS EN PROVENCE</t>
  </si>
  <si>
    <t>Vin de Corse</t>
  </si>
  <si>
    <t>VIN DE CORSE</t>
  </si>
  <si>
    <t>PIERREVERT</t>
  </si>
  <si>
    <t>COTEAUX D AIX EN PROVENCE</t>
  </si>
  <si>
    <t>Vin de Pays des Collines Rhodaniennes</t>
  </si>
  <si>
    <t>Rhône</t>
  </si>
  <si>
    <t>VIN DE PAYS DES COLLINES RHODANIENNES</t>
  </si>
  <si>
    <t>VENTOUX</t>
  </si>
  <si>
    <t>Vacqueyras</t>
  </si>
  <si>
    <t>VACQUEYRAS</t>
  </si>
  <si>
    <t>TAVEL</t>
  </si>
  <si>
    <t>Côteaux de l'Ain</t>
  </si>
  <si>
    <t>COTEAUX DE L AIN</t>
  </si>
  <si>
    <t>SAINT PERAY</t>
  </si>
  <si>
    <t>SAINT JOSEPH</t>
  </si>
  <si>
    <t>Château-Grillet</t>
  </si>
  <si>
    <t>CHATEAU GRILLET</t>
  </si>
  <si>
    <t>COTEAUX DE DIE</t>
  </si>
  <si>
    <t>BEAUMES DE VENISE</t>
  </si>
  <si>
    <t>RASTEAU</t>
  </si>
  <si>
    <t>MUSCAT DE BEAUMES DE VENISE</t>
  </si>
  <si>
    <t>CHATILLON EN DIOIS</t>
  </si>
  <si>
    <t>LUBERON</t>
  </si>
  <si>
    <t>Côte Rôtie</t>
  </si>
  <si>
    <t>COTE ROTIE</t>
  </si>
  <si>
    <t>LIRAC</t>
  </si>
  <si>
    <t>IGP Collines Rhodaniennes</t>
  </si>
  <si>
    <t>IGP COLLINES RHODANIENNES</t>
  </si>
  <si>
    <t>IGP Ardèche</t>
  </si>
  <si>
    <t>IGP ARDECHE</t>
  </si>
  <si>
    <t>Hermitage</t>
  </si>
  <si>
    <t>HERMITAGE</t>
  </si>
  <si>
    <t>CORNAS</t>
  </si>
  <si>
    <t>GRIGNAN LES ADHEMAR</t>
  </si>
  <si>
    <t>GIGONDAS</t>
  </si>
  <si>
    <t>Crozes-Hermitage</t>
  </si>
  <si>
    <t>CROZES HERMITAGE</t>
  </si>
  <si>
    <t>CHATEAUNEUF DU PAPE</t>
  </si>
  <si>
    <t>CREMANT DE DIE</t>
  </si>
  <si>
    <t>Condrieu</t>
  </si>
  <si>
    <t>CONDRIEU</t>
  </si>
  <si>
    <t>COTES DU VIVARAIS</t>
  </si>
  <si>
    <t>COTES DU RHONE VILLAGES</t>
  </si>
  <si>
    <t>COTES DU RHONE</t>
  </si>
  <si>
    <t>VINSOBRES</t>
  </si>
  <si>
    <t>COTEAUX DU LYONNAIS</t>
  </si>
  <si>
    <t>CLAIRETTE DE DIE</t>
  </si>
  <si>
    <t>Savoie</t>
  </si>
  <si>
    <t>BUGEY</t>
  </si>
  <si>
    <t>Bugey mousseux</t>
  </si>
  <si>
    <t>BUGEY MOUSSEUX</t>
  </si>
  <si>
    <t>Chignin Bergeron</t>
  </si>
  <si>
    <t>CHIGNIN BERGERON</t>
  </si>
  <si>
    <t>Vin de Savoie</t>
  </si>
  <si>
    <t>VIN DE SAVOIE</t>
  </si>
  <si>
    <t>SEYSSEL</t>
  </si>
  <si>
    <t>Bugey Vin de France</t>
  </si>
  <si>
    <t>BUGEY VIN DE FRANCE</t>
  </si>
  <si>
    <t>ROUSSETTE DU BUGEY</t>
  </si>
  <si>
    <t>ROUSSETTE DE SAVOIE</t>
  </si>
  <si>
    <t>Sud-Ouest</t>
  </si>
  <si>
    <t>SAUSSIGNAC</t>
  </si>
  <si>
    <t>SAINT SARDOS</t>
  </si>
  <si>
    <t>SAINT MONT</t>
  </si>
  <si>
    <t>ROSETTE</t>
  </si>
  <si>
    <t>PECHARMANT</t>
  </si>
  <si>
    <t>Côtes de Millau</t>
  </si>
  <si>
    <t>COTES DE MILLAU</t>
  </si>
  <si>
    <t>PACHERENC DU VIC BILH</t>
  </si>
  <si>
    <t>MONTRAVEL</t>
  </si>
  <si>
    <t>MONBAZILLAC</t>
  </si>
  <si>
    <t>Côtes de Gascogne</t>
  </si>
  <si>
    <t>COTES DE GASCOGNE</t>
  </si>
  <si>
    <t>MARCILLAC</t>
  </si>
  <si>
    <t>MADIRAN</t>
  </si>
  <si>
    <t>COTES DE DURAS</t>
  </si>
  <si>
    <t>BUZET</t>
  </si>
  <si>
    <t>BERGERAC</t>
  </si>
  <si>
    <t>JURANCON</t>
  </si>
  <si>
    <t>IROULEGUY</t>
  </si>
  <si>
    <t>HAUT MONTRAVEL</t>
  </si>
  <si>
    <t>GAILLAC PREMIERES COTES</t>
  </si>
  <si>
    <t>GAILLAC</t>
  </si>
  <si>
    <t>FRONTON</t>
  </si>
  <si>
    <t>COTES DE BERGERAC</t>
  </si>
  <si>
    <t>ESTAING</t>
  </si>
  <si>
    <t>ENTRAYGUES   LE FEL</t>
  </si>
  <si>
    <t>COTEAUX DU QUERCY</t>
  </si>
  <si>
    <t>COTES DU MARMANDAIS</t>
  </si>
  <si>
    <t>TURSAN</t>
  </si>
  <si>
    <t>COTES DE MONTRAVEL</t>
  </si>
  <si>
    <t>CAHORS</t>
  </si>
  <si>
    <t>BRULHOIS</t>
  </si>
  <si>
    <t>BEARN</t>
  </si>
  <si>
    <t>Automatisation #1</t>
  </si>
  <si>
    <t>Manuel</t>
  </si>
  <si>
    <t xml:space="preserve">A ajouter base cave </t>
  </si>
  <si>
    <t>Hautes Cotes de Beaune</t>
  </si>
  <si>
    <t>Aloxe-Corton premier cru</t>
  </si>
  <si>
    <t>Aloxe-Corton premier cru Clos des Maréchaudes</t>
  </si>
  <si>
    <t>Aloxe-Corton premier cru Clos du Chapitre</t>
  </si>
  <si>
    <t>Aloxe-Corton premier cru La Coutière</t>
  </si>
  <si>
    <t>Aloxe-Corton premier cru La Maréchaude</t>
  </si>
  <si>
    <t>Aloxe-Corton premier cru La Toppe au Vert</t>
  </si>
  <si>
    <t>Aloxe-Corton premier cru Les Chaillots</t>
  </si>
  <si>
    <t>Aloxe-Corton premier cru Les Fournières</t>
  </si>
  <si>
    <t>Aloxe-Corton premier cru Les Guérets</t>
  </si>
  <si>
    <t>Aloxe-Corton premier cru Les Maréchaudes</t>
  </si>
  <si>
    <t>Aloxe-Corton premier cru Les Moutottes</t>
  </si>
  <si>
    <t>Aloxe-Corton premier cru Les Paulands</t>
  </si>
  <si>
    <t>Aloxe-Corton premier cru Les Petites Folières</t>
  </si>
  <si>
    <t>Aloxe-Corton premier cru Les Valozières</t>
  </si>
  <si>
    <t>Aloxe-Corton premier cru Les Vercots</t>
  </si>
  <si>
    <t>Alsace Bergheim</t>
  </si>
  <si>
    <t>Alsace Blienschwiller</t>
  </si>
  <si>
    <t>Alsace Côte de Rouffach</t>
  </si>
  <si>
    <t>Alsace Coteaux du Haut Koenigsbourg</t>
  </si>
  <si>
    <t>Alsace Côtes de Barr</t>
  </si>
  <si>
    <t>Alsace grand cru Altenberg de Bergbieten</t>
  </si>
  <si>
    <t>Alsace grand cru Altenberg de Bergheim</t>
  </si>
  <si>
    <t>Alsace grand cru Altenberg de Wolxheim</t>
  </si>
  <si>
    <t>Alsace grand cru Brand</t>
  </si>
  <si>
    <t>Alsace grand cru Bruderthal</t>
  </si>
  <si>
    <t>Alsace grand cru Eichberg</t>
  </si>
  <si>
    <t>Alsace grand cru Engelberg</t>
  </si>
  <si>
    <t>Alsace grand cru Florimont</t>
  </si>
  <si>
    <t>Alsace grand cru Frankstein</t>
  </si>
  <si>
    <t>Alsace grand cru Froehn</t>
  </si>
  <si>
    <t>Alsace grand cru Furstentum</t>
  </si>
  <si>
    <t>Alsace grand cru Geisberg</t>
  </si>
  <si>
    <t>Alsace grand cru Gloeckelberg</t>
  </si>
  <si>
    <t>Alsace grand cru Goldert</t>
  </si>
  <si>
    <t>Alsace grand cru Hatschbourg</t>
  </si>
  <si>
    <t>Alsace grand cru Hengst</t>
  </si>
  <si>
    <t>Alsace grand cru Kaefferkopf</t>
  </si>
  <si>
    <t>Alsace grand cru Kanzlerberg</t>
  </si>
  <si>
    <t>Alsace grand cru Kastelberg</t>
  </si>
  <si>
    <t>Alsace grand cru Kessler</t>
  </si>
  <si>
    <t>Alsace grand cru Kirchberg de Barr</t>
  </si>
  <si>
    <t>Alsace grand cru Kirchberg de Ribeauvillé</t>
  </si>
  <si>
    <t>Alsace grand cru Kitterlé</t>
  </si>
  <si>
    <t xml:space="preserve">Alsace grand cru Mandelberg </t>
  </si>
  <si>
    <t>Alsace grand cru Marckrain</t>
  </si>
  <si>
    <t>Alsace grand cru Moenchberg</t>
  </si>
  <si>
    <t>Alsace grand cru Muenchberg</t>
  </si>
  <si>
    <t>Alsace grand cru Ollwiller</t>
  </si>
  <si>
    <t>Alsace grand cru Osterberg</t>
  </si>
  <si>
    <t>Alsace grand cru Pfersigberg</t>
  </si>
  <si>
    <t>Alsace grand cru Pfingstberg</t>
  </si>
  <si>
    <t>Alsace grand cru Praelatenberg</t>
  </si>
  <si>
    <t>Alsace grand cru Rangen</t>
  </si>
  <si>
    <t>Alsace grand cru Rosacker</t>
  </si>
  <si>
    <t>Alsace grand cru Saering</t>
  </si>
  <si>
    <t>Alsace grand cru Schoenenbourg</t>
  </si>
  <si>
    <t>Alsace grand cru Sommerberg</t>
  </si>
  <si>
    <t>Alsace grand cru Sonnenglanz</t>
  </si>
  <si>
    <t>Alsace grand cru Spiegel</t>
  </si>
  <si>
    <t>Alsace grand cru Sporen</t>
  </si>
  <si>
    <t>Alsace grand cru Steinert</t>
  </si>
  <si>
    <t>Alsace grand cru Steingrubler</t>
  </si>
  <si>
    <t>Alsace grand cru Steinklotz</t>
  </si>
  <si>
    <t>Alsace grand cru Vorbourg</t>
  </si>
  <si>
    <t>Alsace grand cru Wiebelsberg</t>
  </si>
  <si>
    <t>Alsace grand cru Wineck-Schlossberg</t>
  </si>
  <si>
    <t>Alsace grand cru Winzenberg</t>
  </si>
  <si>
    <t>Alsace grand cru Zinnkoepfle</t>
  </si>
  <si>
    <t>Alsace grand cru Zotzenberg</t>
  </si>
  <si>
    <t>Alsace Klevener de Heiligenstein</t>
  </si>
  <si>
    <t>Alsace Ottrott</t>
  </si>
  <si>
    <t>Alsace Rodern</t>
  </si>
  <si>
    <t>Alsace Saint-Hippolyte</t>
  </si>
  <si>
    <t>Alsace Scherwiller</t>
  </si>
  <si>
    <t>Alsace suivi d’un nom de lieu-dit</t>
  </si>
  <si>
    <t>Alsace Val Saint Grégoire</t>
  </si>
  <si>
    <t>Alsace Vallée Noble</t>
  </si>
  <si>
    <t>Alsace Wolxheim</t>
  </si>
  <si>
    <t>Anjou Brissac</t>
  </si>
  <si>
    <t>Anjou gamay</t>
  </si>
  <si>
    <t>Armagnac</t>
  </si>
  <si>
    <t>Armagnac-Ténarèze</t>
  </si>
  <si>
    <t>Auxey-Duresses premier cru</t>
  </si>
  <si>
    <t>Auxey-Duresses premier cru Bas des Duresses</t>
  </si>
  <si>
    <t>Auxey-Duresses premier cru Climat du Val</t>
  </si>
  <si>
    <t>Auxey-Duresses premier cru Clos du Val</t>
  </si>
  <si>
    <t>Auxey-Duresses premier cru La Chapelle</t>
  </si>
  <si>
    <t>Auxey-Duresses premier cru Les Bréterins</t>
  </si>
  <si>
    <t>Auxey-Duresses premier cru Les Duresses</t>
  </si>
  <si>
    <t>Auxey-Duresses premier cru Les Ecussaux</t>
  </si>
  <si>
    <t>Auxey-Duresses premier cru Les Grands Champs</t>
  </si>
  <si>
    <t>Auxey-Duresses premier cru Reugne</t>
  </si>
  <si>
    <t>Bas Armagnac</t>
  </si>
  <si>
    <t>Beaujolais Blacé</t>
  </si>
  <si>
    <t>Beaujolais Cercié</t>
  </si>
  <si>
    <t>Beaujolais Chânes</t>
  </si>
  <si>
    <t>Beaujolais Charentay</t>
  </si>
  <si>
    <t>Beaujolais Denicé</t>
  </si>
  <si>
    <t>Beaujolais Emeringes</t>
  </si>
  <si>
    <t>Beaujolais Jullié</t>
  </si>
  <si>
    <t>Beaujolais Lancié</t>
  </si>
  <si>
    <t>Beaujolais Les Ardillats</t>
  </si>
  <si>
    <t>Beaujolais Leynes</t>
  </si>
  <si>
    <t>Beaujolais Marchampt</t>
  </si>
  <si>
    <t>Beaujolais Montmelas-Saint-Sorlin</t>
  </si>
  <si>
    <t>Beaujolais Pruzilly</t>
  </si>
  <si>
    <t>Beaujolais Rivolet</t>
  </si>
  <si>
    <t>Beaujolais Romanèche-Thorins</t>
  </si>
  <si>
    <t>Beaujolais Saint-Didier-sur-Beaujeu</t>
  </si>
  <si>
    <t>Beaujolais Saint-Etienne-la-Varenne</t>
  </si>
  <si>
    <t>Beaujolais Saint-Julien</t>
  </si>
  <si>
    <t>Beaujolais Saint-Symphorien-d'Ancelles</t>
  </si>
  <si>
    <t>Beaujolais Salles-Arbuissonnas-en-Beaujolais</t>
  </si>
  <si>
    <t>Beaujolais Vauxrenard</t>
  </si>
  <si>
    <t>Beaune premier cru</t>
  </si>
  <si>
    <t>Beaune premier cru A l'Ecu</t>
  </si>
  <si>
    <t>Beaune premier cru Aux Coucherias</t>
  </si>
  <si>
    <t>Beaune premier cru Aux Cras</t>
  </si>
  <si>
    <t>Beaune premier cru Belissand</t>
  </si>
  <si>
    <t>Beaune premier cru Blanches Fleurs</t>
  </si>
  <si>
    <t>Beaune premier cru Champs Pimont</t>
  </si>
  <si>
    <t>Beaune premier cru Clos de la Feguine</t>
  </si>
  <si>
    <t>Beaune premier cru Clos de la Mousse</t>
  </si>
  <si>
    <t>Beaune premier cru Clos de l'Ecu</t>
  </si>
  <si>
    <t>Beaune premier cru Clos des Avaux</t>
  </si>
  <si>
    <t>Beaune premier cru Clos des Ursules</t>
  </si>
  <si>
    <t>Beaune premier cru Clos du Roi</t>
  </si>
  <si>
    <t>Beaune premier cru Clos Saint-Landry</t>
  </si>
  <si>
    <t>Beaune premier cru En Genêt</t>
  </si>
  <si>
    <t>Beaune premier cru En l'Orme</t>
  </si>
  <si>
    <t>Beaune premier cru La Mignotte</t>
  </si>
  <si>
    <t>Beaune premier cru Le Bas des Teurons</t>
  </si>
  <si>
    <t>Beaune premier cru Le Clos des Mouches</t>
  </si>
  <si>
    <t>Beaune premier cru Les Aigrots</t>
  </si>
  <si>
    <t>Beaune premier cru Les Avaux</t>
  </si>
  <si>
    <t>Beaune premier cru Les Boucherottes</t>
  </si>
  <si>
    <t>Beaune premier cru Les Bressandes</t>
  </si>
  <si>
    <t>Beaune premier cru Les Cents Vignes</t>
  </si>
  <si>
    <t>Beaune premier cru Les Chouacheux</t>
  </si>
  <si>
    <t>Beaune premier cru Les Epenotes</t>
  </si>
  <si>
    <t>Beaune premier cru Les Fèves</t>
  </si>
  <si>
    <t>Beaune premier cru Les Grèves</t>
  </si>
  <si>
    <t>Beaune premier cru Les Marconnets</t>
  </si>
  <si>
    <t>Beaune premier cru Les Montrevenots</t>
  </si>
  <si>
    <t>Beaune premier cru Les Perrières</t>
  </si>
  <si>
    <t>Beaune premier cru Les Reversés</t>
  </si>
  <si>
    <t>Beaune premier cru Les Sceaux</t>
  </si>
  <si>
    <t>Beaune premier cru Les Seurey</t>
  </si>
  <si>
    <t>Beaune premier cru Les Sizies</t>
  </si>
  <si>
    <t>Beaune premier cru Les Teurons</t>
  </si>
  <si>
    <t>Beaune premier cru Les Toussaints</t>
  </si>
  <si>
    <t>Beaune premier cru Les Tuvilains</t>
  </si>
  <si>
    <t>Beaune premier cru Les Vignes Franches</t>
  </si>
  <si>
    <t>Beaune premier cru Montée Rouge</t>
  </si>
  <si>
    <t>Beaune premier cru Pertuisots</t>
  </si>
  <si>
    <t>Beaune premier cru Sur les Grèves</t>
  </si>
  <si>
    <t>Beaune premier cru Sur les Grèves - Clos Saint-Anne</t>
  </si>
  <si>
    <t>Blagny premier cru</t>
  </si>
  <si>
    <t>Blagny premier cru Hameau de Blagny</t>
  </si>
  <si>
    <t>Blagny premier cru La Garenne ou sur la Garenne</t>
  </si>
  <si>
    <t>Blagny premier cru La Jeunellotte</t>
  </si>
  <si>
    <t>Blagny premier cru La Pièce sous le Bois</t>
  </si>
  <si>
    <t>Blagny premier cru Sous Blagny</t>
  </si>
  <si>
    <t>Blagny premier cru Sous le Dos d'Ane</t>
  </si>
  <si>
    <t>Blagny premier cru Sous le Puits</t>
  </si>
  <si>
    <t>Blanche Armagnac</t>
  </si>
  <si>
    <t>Bourgogne Côte Saint-Jacques</t>
  </si>
  <si>
    <t>Bourgogne Coulanges-la-Vineuse</t>
  </si>
  <si>
    <t>Bourgogne La Chapelle Notre-Dame</t>
  </si>
  <si>
    <t>Bourgogne Le Chapitre</t>
  </si>
  <si>
    <t>Bourgogne Montrecul</t>
  </si>
  <si>
    <t>Boutenac</t>
  </si>
  <si>
    <t>Bugey Manicle</t>
  </si>
  <si>
    <t>Bugey Montagnieu</t>
  </si>
  <si>
    <t>Calvados</t>
  </si>
  <si>
    <t>Calvados Domfrontais</t>
  </si>
  <si>
    <t>Calvados Pays d'Auge</t>
  </si>
  <si>
    <t>Chablis Grand Cru Blanchot</t>
  </si>
  <si>
    <t>Chablis Grand Cru Bougros</t>
  </si>
  <si>
    <t>Chablis Grand Cru Grenouilles</t>
  </si>
  <si>
    <t>Chablis Grand Cru Les Clos</t>
  </si>
  <si>
    <t>Chablis Grand Cru Preuses</t>
  </si>
  <si>
    <t>Chablis Grand Cru Valmur</t>
  </si>
  <si>
    <t>Chablis Grand Cru Vaudésir</t>
  </si>
  <si>
    <t>Chablis premier cru Beauroy</t>
  </si>
  <si>
    <t>Chablis premier cru Berdiot</t>
  </si>
  <si>
    <t>Chablis premier cru Beugnons</t>
  </si>
  <si>
    <t>Chablis premier cru Butteaux</t>
  </si>
  <si>
    <t>Chablis premier cru Chapelot</t>
  </si>
  <si>
    <t>Chablis premier cru Chatains</t>
  </si>
  <si>
    <t>Chablis premier cru Chaume de Talvat</t>
  </si>
  <si>
    <t>Chablis premier cru Côte de Bréchain</t>
  </si>
  <si>
    <t>Chablis premier cru Côte de Cuisy</t>
  </si>
  <si>
    <t>Chablis premier cru Côte de Fontenay</t>
  </si>
  <si>
    <t>Chablis premier cru Côte de Jouan</t>
  </si>
  <si>
    <t>Chablis premier cru Côte de Léchet</t>
  </si>
  <si>
    <t>Chablis premier cru Côte de Savant</t>
  </si>
  <si>
    <t>Chablis premier cru Côte de Vaubarousse</t>
  </si>
  <si>
    <t>Chablis premier cru Côte des Prés-Girots</t>
  </si>
  <si>
    <t>Chablis premier cru Forêts</t>
  </si>
  <si>
    <t>Chablis premier cru Fourchaume</t>
  </si>
  <si>
    <t>Chablis premier cru Les Beauregards</t>
  </si>
  <si>
    <t>Chablis premier cru Les Epinottes</t>
  </si>
  <si>
    <t>Chablis premier cru Les Fourneaux</t>
  </si>
  <si>
    <t>Chablis premier cru Les Lys</t>
  </si>
  <si>
    <t>Chablis premier cru L'Homme Mort</t>
  </si>
  <si>
    <t>Chablis premier cru Mélinots</t>
  </si>
  <si>
    <t>Chablis premier cru Mont de Milieu</t>
  </si>
  <si>
    <t>Chablis premier cru Montée de Tonnerre</t>
  </si>
  <si>
    <t>Chablis premier cru Montmains</t>
  </si>
  <si>
    <t>Chablis premier cru Morein</t>
  </si>
  <si>
    <t>Chablis premier cru Pied d'Aloup</t>
  </si>
  <si>
    <t>Chablis premier cru Roncières</t>
  </si>
  <si>
    <t>Chablis premier cru Sécher</t>
  </si>
  <si>
    <t>Chablis premier cru Troesmes</t>
  </si>
  <si>
    <t>Chablis premier cru Vaillons</t>
  </si>
  <si>
    <t>Chablis premier cru Vau de Vey</t>
  </si>
  <si>
    <t>Chablis premier cru Vau Ligneau</t>
  </si>
  <si>
    <t>Chablis premier cru Vaugiraut</t>
  </si>
  <si>
    <t>Chablis premier cru Vaulorent</t>
  </si>
  <si>
    <t>Chablis premier cru Vaupulent</t>
  </si>
  <si>
    <t>Chablis premier cru Vaux Ragons</t>
  </si>
  <si>
    <t>Chablis premier cru Vosgros</t>
  </si>
  <si>
    <t>Chambolle-Musigny premier cru</t>
  </si>
  <si>
    <t>Chambolle-Musigny premier cru Aux Beaux Bruns</t>
  </si>
  <si>
    <t>Chambolle-Musigny premier cru Aux Combottes</t>
  </si>
  <si>
    <t>Chambolle-Musigny premier cru Aux Echanges</t>
  </si>
  <si>
    <t>Chambolle-Musigny premier cru Derrière la Grange</t>
  </si>
  <si>
    <t>Chambolle-Musigny premier cru La Combe d'Orveau</t>
  </si>
  <si>
    <t>Chambolle-Musigny premier cru Les Amoureuses</t>
  </si>
  <si>
    <t>Chambolle-Musigny premier cru Les Baudes</t>
  </si>
  <si>
    <t>Chambolle-Musigny premier cru Les Borniques</t>
  </si>
  <si>
    <t>Chambolle-Musigny premier cru Les Carrières</t>
  </si>
  <si>
    <t>Chambolle-Musigny premier cru Les Chabiots</t>
  </si>
  <si>
    <t>Chambolle-Musigny premier cru Les Charmes</t>
  </si>
  <si>
    <t>Chambolle-Musigny premier cru Les Chatelots</t>
  </si>
  <si>
    <t>Chambolle-Musigny premier cru Les Combottes</t>
  </si>
  <si>
    <t>Chambolle-Musigny premier cru Les Cras</t>
  </si>
  <si>
    <t>Chambolle-Musigny premier cru Les Feusselottes ou Les Feusselotes</t>
  </si>
  <si>
    <t>Chambolle-Musigny premier cru Les Fuées</t>
  </si>
  <si>
    <t>Chambolle-Musigny premier cru Les Groseilles</t>
  </si>
  <si>
    <t>Chambolle-Musigny premier cru Les Gruenchers</t>
  </si>
  <si>
    <t>Chambolle-Musigny premier cru Les Hauts Doix</t>
  </si>
  <si>
    <t>Chambolle-Musigny premier cru Les Lavrottes</t>
  </si>
  <si>
    <t>Chambolle-Musigny premier cru Les Noirots</t>
  </si>
  <si>
    <t>Chambolle-Musigny premier cru Les Plantes</t>
  </si>
  <si>
    <t>Chambolle-Musigny premier cru Les Sentiers</t>
  </si>
  <si>
    <t>Chambolle-Musigny premier cru Les Véroilles</t>
  </si>
  <si>
    <t>Chassagne-Montrachet premier cru</t>
  </si>
  <si>
    <t>Chassagne-Montrachet premier cru Abbaye de Morgeot</t>
  </si>
  <si>
    <t>Chassagne-Montrachet premier cru Blanchot dessus</t>
  </si>
  <si>
    <t>Chassagne-Montrachet premier cru Bois de Chassagne</t>
  </si>
  <si>
    <t>Chassagne-Montrachet premier cru Cailleret</t>
  </si>
  <si>
    <t>Chassagne-Montrachet premier cru Champs Jendreau</t>
  </si>
  <si>
    <t>Chassagne-Montrachet premier cru Chassagne</t>
  </si>
  <si>
    <t>Chassagne-Montrachet premier cru Chassagne du Clos Saint-Jean</t>
  </si>
  <si>
    <t>Chassagne-Montrachet premier cru Clos Chareau</t>
  </si>
  <si>
    <t>Chassagne-Montrachet premier cru Clos Pitois</t>
  </si>
  <si>
    <t>Chassagne-Montrachet premier cru Clos Saint-Jean</t>
  </si>
  <si>
    <t>Chassagne-Montrachet premier cru Dent de Chien</t>
  </si>
  <si>
    <t>Chassagne-Montrachet premier cru En Cailleret</t>
  </si>
  <si>
    <t>Chassagne-Montrachet premier cru En Remilly</t>
  </si>
  <si>
    <t>Chassagne-Montrachet premier cru En Virondot</t>
  </si>
  <si>
    <t>Chassagne-Montrachet premier cru Ez Crets</t>
  </si>
  <si>
    <t>Chassagne-Montrachet premier cru Ez Crottes</t>
  </si>
  <si>
    <t>Chassagne-Montrachet premier cru Francemont</t>
  </si>
  <si>
    <t>Chassagne-Montrachet premier cru Guerchère</t>
  </si>
  <si>
    <t>Chassagne-Montrachet premier cru La Boudriotte</t>
  </si>
  <si>
    <t>Chassagne-Montrachet premier cru La Cardeuse</t>
  </si>
  <si>
    <t>Chassagne-Montrachet premier cru La Chapelle</t>
  </si>
  <si>
    <t>Chassagne-Montrachet premier cru La Grande Borne</t>
  </si>
  <si>
    <t>Chassagne-Montrachet premier cru La Grande Montagne</t>
  </si>
  <si>
    <t>Chassagne-Montrachet premier cru La Maltroie</t>
  </si>
  <si>
    <t>Chassagne-Montrachet premier cru La Romanée</t>
  </si>
  <si>
    <t>Chassagne-Montrachet premier cru La Roquemaure</t>
  </si>
  <si>
    <t>Chassagne-Montrachet premier cru Les Baudines</t>
  </si>
  <si>
    <t>Chassagne-Montrachet premier cru Les Boirettes</t>
  </si>
  <si>
    <t>Chassagne-Montrachet premier cru Les Bondues</t>
  </si>
  <si>
    <t>Chassagne-Montrachet premier cru Les Brussonnes</t>
  </si>
  <si>
    <t>Chassagne-Montrachet premier cru Les Champs gain</t>
  </si>
  <si>
    <t>Chassagne-Montrachet premier cru Les Chaumées</t>
  </si>
  <si>
    <t>Chassagne-Montrachet premier cru Les Chaumes</t>
  </si>
  <si>
    <t>Chassagne-Montrachet premier cru Les Chenevottes</t>
  </si>
  <si>
    <t>Chassagne-Montrachet premier cru Les Combards</t>
  </si>
  <si>
    <t>Chassagne-Montrachet premier cru Les Commes</t>
  </si>
  <si>
    <t>Chassagne-Montrachet premier cru Les Embazées</t>
  </si>
  <si>
    <t>Chassagne-Montrachet premier cru Les Fairendes</t>
  </si>
  <si>
    <t>Chassagne-Montrachet premier cru Les Grandes Ruchottes</t>
  </si>
  <si>
    <t>Chassagne-Montrachet premier cru Les Grands Clos</t>
  </si>
  <si>
    <t>Chassagne-Montrachet premier cru Les Macherelles</t>
  </si>
  <si>
    <t>Chassagne-Montrachet premier cru Les Murées</t>
  </si>
  <si>
    <t>Chassagne-Montrachet premier cru Les Pasquelles</t>
  </si>
  <si>
    <t>Chassagne-Montrachet premier cru Les Petites Fairendes</t>
  </si>
  <si>
    <t>Chassagne-Montrachet premier cru Les Petits Clos</t>
  </si>
  <si>
    <t>Chassagne-Montrachet premier cru Les Places</t>
  </si>
  <si>
    <t>Chassagne-Montrachet premier cru Les Rebichets</t>
  </si>
  <si>
    <t>Chassagne-Montrachet premier cru Les Vergers</t>
  </si>
  <si>
    <t>Chassagne-Montrachet premier cru Morgeot</t>
  </si>
  <si>
    <t>Chassagne-Montrachet premier cru Petingeret</t>
  </si>
  <si>
    <t>Chassagne-Montrachet premier cru Tête du Clos</t>
  </si>
  <si>
    <t>Chassagne-Montrachet premier cru Tonton Marcel</t>
  </si>
  <si>
    <t>Chassagne-Montrachet premier cru Vide Bourse</t>
  </si>
  <si>
    <t>Chassagne-Montrachet premier cru Vigne Blanche</t>
  </si>
  <si>
    <t>Chassagne-Montrachet premier cru Vigne Derrière</t>
  </si>
  <si>
    <t>Clairette du Languedoc Adissan</t>
  </si>
  <si>
    <t>Clairette du Languedoc Ceyras</t>
  </si>
  <si>
    <t>Clairette du Languedoc Fontès</t>
  </si>
  <si>
    <t>Clairette du Languedoc Nizas</t>
  </si>
  <si>
    <t>Clairette du Languedoc Paulhan</t>
  </si>
  <si>
    <t>Clairette du Languedoc Saint-André-de-Sangonis</t>
  </si>
  <si>
    <t>Cognac Bois ordinaires ou Bois à terroirs</t>
  </si>
  <si>
    <t>Cognac Bons Bois</t>
  </si>
  <si>
    <t>Cognac Borderies</t>
  </si>
  <si>
    <t>Cognac Fine Champagne</t>
  </si>
  <si>
    <t>Cognac Fins Bois</t>
  </si>
  <si>
    <t>Cognac Grande Champagne ou Grande Fine Champagne</t>
  </si>
  <si>
    <t>Cognac ou Eau-de-vie de Cognac ou Eau-de-vie des Charentes</t>
  </si>
  <si>
    <t>Cognac Petite Champagne ou Petite Fine Champagne</t>
  </si>
  <si>
    <t>Corrèze</t>
  </si>
  <si>
    <t>Corrèze Coteaux de la Vézère</t>
  </si>
  <si>
    <t>Corrèze vin de paille</t>
  </si>
  <si>
    <t>Corton Basses Mourottes</t>
  </si>
  <si>
    <t>Corton Clos des Meix</t>
  </si>
  <si>
    <t>Corton Hautes Mourottes</t>
  </si>
  <si>
    <t>Corton La Toppe au Vert</t>
  </si>
  <si>
    <t>Corton La Vigne au Saint</t>
  </si>
  <si>
    <t>Corton Le Clos du Roi</t>
  </si>
  <si>
    <t>Corton Le Corton</t>
  </si>
  <si>
    <t>Corton Le Meix Lallemand</t>
  </si>
  <si>
    <t>Corton Le Rognet et Corton</t>
  </si>
  <si>
    <t>Corton Les Bressandes</t>
  </si>
  <si>
    <t>Corton Les Carrières</t>
  </si>
  <si>
    <t>Corton Les Chaumes</t>
  </si>
  <si>
    <t>Corton Les Combes</t>
  </si>
  <si>
    <t>Corton Les Fiètres</t>
  </si>
  <si>
    <t>Corton Les Grandes Lolières</t>
  </si>
  <si>
    <t>Corton Les Grèves</t>
  </si>
  <si>
    <t>Corton Les Languettes</t>
  </si>
  <si>
    <t>Corton Les Maréchaudes</t>
  </si>
  <si>
    <t>Corton Les Moutottes</t>
  </si>
  <si>
    <t>Corton Les Paulands</t>
  </si>
  <si>
    <t>Corton Les Perrières</t>
  </si>
  <si>
    <t>Corton Les Pougets</t>
  </si>
  <si>
    <t>Corton Les Renardes</t>
  </si>
  <si>
    <t>Corton Les Vergennes</t>
  </si>
  <si>
    <t>Coteaux du Layon Beaulieu-sur-Layon</t>
  </si>
  <si>
    <t>Coteaux du Layon Faye-d'Anjou</t>
  </si>
  <si>
    <t>Coteaux du Layon Rablay-sur-Layon</t>
  </si>
  <si>
    <t>Coteaux du Layon Rochefort-sur-Loire</t>
  </si>
  <si>
    <t>Coteaux du Layon Saint-Aubin-de-Luigné</t>
  </si>
  <si>
    <t>Coteaux du Layon Saint-Lambert-du-Lattay</t>
  </si>
  <si>
    <t>Coteaux Varois en Provence</t>
  </si>
  <si>
    <t>Côtes d'Auvergne Boudes</t>
  </si>
  <si>
    <t>Côtes d'Auvergne Chanturgue</t>
  </si>
  <si>
    <t>Côtes d'Auvergne Châteaugay</t>
  </si>
  <si>
    <t>Côtes d'Auvergne Corent</t>
  </si>
  <si>
    <t>Côtes d'Auvergne Madargues</t>
  </si>
  <si>
    <t>Côtes de Bordeaux Sainte-Foy</t>
  </si>
  <si>
    <t>Côtes de Provence Fréjus</t>
  </si>
  <si>
    <t>Côtes de Provence la Londe</t>
  </si>
  <si>
    <t>Côtes de Provence Notre-Dame des Anges</t>
  </si>
  <si>
    <t>Côtes de Provence Pierrefeu</t>
  </si>
  <si>
    <t>Côtes du Rhône villages Gadagne</t>
  </si>
  <si>
    <t>Côtes du Rhône Villages Nyons</t>
  </si>
  <si>
    <t>Côtes du Rhône Villages Puyméras</t>
  </si>
  <si>
    <t>Côtes du Rhône Villages Vaison-la-Romaine</t>
  </si>
  <si>
    <t>Côtes du Rhône Villages Visan</t>
  </si>
  <si>
    <t>Côtes du Roussillon Villages Latour-de-France</t>
  </si>
  <si>
    <t>Coulée de Serrant</t>
  </si>
  <si>
    <t>Domfront</t>
  </si>
  <si>
    <t>Duché d'Uzès</t>
  </si>
  <si>
    <t>Eau-de-vie de cidre de Bretagne</t>
  </si>
  <si>
    <t>Eau-de-vie de cidre du Maine</t>
  </si>
  <si>
    <t>Fiefs Vendéens Brem</t>
  </si>
  <si>
    <t>Fiefs Vendéens Mareuil</t>
  </si>
  <si>
    <t>Fiefs Vendéens Pissotte</t>
  </si>
  <si>
    <t>Fiefs Vendéens Vix</t>
  </si>
  <si>
    <t>Fiefs Vendéens Chantonnay</t>
  </si>
  <si>
    <t>Fine de Bourgogne</t>
  </si>
  <si>
    <t>Fixin premier cru</t>
  </si>
  <si>
    <t>Fixin premier cru Arvelets</t>
  </si>
  <si>
    <t>Fixin premier cru Clos de la Perrière</t>
  </si>
  <si>
    <t>Fixin premier cru Clos du Chapitre</t>
  </si>
  <si>
    <t>Fixin premier cru Clos Napoléon</t>
  </si>
  <si>
    <t>Fixin premier cru Hervelets</t>
  </si>
  <si>
    <t>Fixin premier cru Les Meix Bas</t>
  </si>
  <si>
    <t>Floc de Gascogne</t>
  </si>
  <si>
    <t>Gaillac blanc</t>
  </si>
  <si>
    <t>Gevrey-Chambertin premier cru</t>
  </si>
  <si>
    <t>Gevrey-Chambertin premier cru Au Closeau</t>
  </si>
  <si>
    <t>Gevrey-Chambertin premier cru Aux Combottes</t>
  </si>
  <si>
    <t>Gevrey-Chambertin premier cru Bel Air</t>
  </si>
  <si>
    <t>Gevrey-Chambertin premier cru Champeaux</t>
  </si>
  <si>
    <t>Gevrey-Chambertin premier cru Champonnet</t>
  </si>
  <si>
    <t>Gevrey-Chambertin premier cru Cherbaudes</t>
  </si>
  <si>
    <t>Gevrey-Chambertin premier cru Clos des Varoilles</t>
  </si>
  <si>
    <t>Gevrey-Chambertin premier cru Clos du Chapitre</t>
  </si>
  <si>
    <t>Gevrey-Chambertin premier cru Clos Prieur</t>
  </si>
  <si>
    <t>Gevrey-Chambertin premier cru Clos Saint-Jacques</t>
  </si>
  <si>
    <t>Gevrey-Chambertin premier cru Combe au Moine</t>
  </si>
  <si>
    <t>Gevrey-Chambertin premier cru Craipillot</t>
  </si>
  <si>
    <t>Gevrey-Chambertin premier cru En Ergot</t>
  </si>
  <si>
    <t>Gevrey-Chambertin premier cru Estournelles-Saint-Jacques</t>
  </si>
  <si>
    <t>Gevrey-Chambertin premier cru Fonteny</t>
  </si>
  <si>
    <t>Gevrey-Chambertin premier cru Issarts</t>
  </si>
  <si>
    <t>Gevrey-Chambertin premier cru La Bossière</t>
  </si>
  <si>
    <t>Gevrey-Chambertin premier cru La Perrière</t>
  </si>
  <si>
    <t>Gevrey-Chambertin premier cru La Romanée</t>
  </si>
  <si>
    <t>Gevrey-Chambertin premier cru Lavaut Saint-Jacques</t>
  </si>
  <si>
    <t>Gevrey-Chambertin premier cru Les Cazetiers</t>
  </si>
  <si>
    <t>Gevrey-Chambertin premier cru Les Corbeaux</t>
  </si>
  <si>
    <t>Gevrey-Chambertin premier cru Les Goulots</t>
  </si>
  <si>
    <t>Gevrey-Chambertin premier cru Petite Chapelle</t>
  </si>
  <si>
    <t>Gevrey-Chambertin premier cru Petits Cazetiers</t>
  </si>
  <si>
    <t>Gevrey-Chambertin premier cru Poissenot</t>
  </si>
  <si>
    <t>Givry premier cru</t>
  </si>
  <si>
    <t>Givry premier cru A Vigne Rouge</t>
  </si>
  <si>
    <t>Givry premier cru Champ Nalot</t>
  </si>
  <si>
    <t>Givry premier cru Clos Charlé</t>
  </si>
  <si>
    <t>Givry premier cru Clos de la Baraude</t>
  </si>
  <si>
    <t>Givry premier cru Clos du Cellier aux Moines</t>
  </si>
  <si>
    <t>Givry premier cru Clos du Cras long</t>
  </si>
  <si>
    <t>Givry premier cru Clos du Vernoy</t>
  </si>
  <si>
    <t>Givry premier cru Clos Jus</t>
  </si>
  <si>
    <t>Givry premier cru Clos Marceaux</t>
  </si>
  <si>
    <t>Givry premier cru Clos Marole</t>
  </si>
  <si>
    <t>Givry premier cru Clos Salomon</t>
  </si>
  <si>
    <t>Givry premier cru Clos-Saint-Paul</t>
  </si>
  <si>
    <t>Givry premier cru Clos-Saint-Pierre</t>
  </si>
  <si>
    <t>Givry premier cru Crausot</t>
  </si>
  <si>
    <t>Givry premier cru Crémillons</t>
  </si>
  <si>
    <t>Givry premier cru En Choué</t>
  </si>
  <si>
    <t>Givry premier cru En Veau</t>
  </si>
  <si>
    <t>Givry premier cru La Brûlée</t>
  </si>
  <si>
    <t>Givry premier cru La Grande Berge</t>
  </si>
  <si>
    <t>Givry premier cru La Matrosse</t>
  </si>
  <si>
    <t>Givry premier cru La Petite Berge</t>
  </si>
  <si>
    <t>Givry premier cru La Plante</t>
  </si>
  <si>
    <t>Givry premier cru Le Champ Lalot</t>
  </si>
  <si>
    <t>Givry premier cru Le Médenchot</t>
  </si>
  <si>
    <t>Givry premier cru Le Paradis</t>
  </si>
  <si>
    <t>Givry premier cru Le Petit Prétan</t>
  </si>
  <si>
    <t>Givry premier cru Le Pied de Chaume</t>
  </si>
  <si>
    <t>Givry premier cru Le Pied du Clou</t>
  </si>
  <si>
    <t>Givry premier cru Le Vernoy</t>
  </si>
  <si>
    <t>Givry premier cru Le Vigron</t>
  </si>
  <si>
    <t>Givry premier cru Les Bois Chevaux</t>
  </si>
  <si>
    <t>Givry premier cru Les Bois Gautiers</t>
  </si>
  <si>
    <t>Givry premier cru Les Combes</t>
  </si>
  <si>
    <t>Givry premier cru Les Galaffres</t>
  </si>
  <si>
    <t>Givry premier cru Les Grandes Vignes</t>
  </si>
  <si>
    <t>Givry premier cru Les Grands Prétans</t>
  </si>
  <si>
    <t>Givry premier cru Petit Marole</t>
  </si>
  <si>
    <t>Givry premier cru Servoisine</t>
  </si>
  <si>
    <t>Grés de Montpellier</t>
  </si>
  <si>
    <t>Gros Plant du Pays nantais</t>
  </si>
  <si>
    <t>Haut Armagnac</t>
  </si>
  <si>
    <t>Kirsch de Fougerolles</t>
  </si>
  <si>
    <t>La Livinière</t>
  </si>
  <si>
    <t>Ladoix premier cru</t>
  </si>
  <si>
    <t>Ladoix premier cru Basses Mourottes</t>
  </si>
  <si>
    <t>Ladoix premier cru Bois Roussot</t>
  </si>
  <si>
    <t>Ladoix premier cru En Naget</t>
  </si>
  <si>
    <t>Ladoix premier cru Hautes Mourottes</t>
  </si>
  <si>
    <t>Ladoix premier cru La Corvée</t>
  </si>
  <si>
    <t>Ladoix premier cru La Micaude</t>
  </si>
  <si>
    <t>Ladoix premier cru Le Clou d'Orge</t>
  </si>
  <si>
    <t>Ladoix premier cru Le Rognet et Corton</t>
  </si>
  <si>
    <t>Ladoix premier cru Les Buis</t>
  </si>
  <si>
    <t>Ladoix premier cru Les Grêchons et Foutrières</t>
  </si>
  <si>
    <t>Ladoix premier cru Les Joyeuses</t>
  </si>
  <si>
    <t>Languedoc blanc</t>
  </si>
  <si>
    <t>Languedoc Pézenas</t>
  </si>
  <si>
    <t>Languedoc Saint-Christol</t>
  </si>
  <si>
    <t>Languedoc Saint-Drézéry</t>
  </si>
  <si>
    <t>Languedoc Sommières</t>
  </si>
  <si>
    <t>Laudun</t>
  </si>
  <si>
    <t>Lucques du Languedoc</t>
  </si>
  <si>
    <t>Lussac Saint-Emilion</t>
  </si>
  <si>
    <t>Mâcon Burgy</t>
  </si>
  <si>
    <t>Mâcon Bussières</t>
  </si>
  <si>
    <t>Mâcon Chaintré</t>
  </si>
  <si>
    <t>Mâcon Charnay-lès-Mâcon</t>
  </si>
  <si>
    <t>Mâcon Cruzille</t>
  </si>
  <si>
    <t>Mâcon Davayé</t>
  </si>
  <si>
    <t>Mâcon Fuissé</t>
  </si>
  <si>
    <t>Mâcon Loché</t>
  </si>
  <si>
    <t>Mâcon Montbellet</t>
  </si>
  <si>
    <t>Mâcon Pierreclos</t>
  </si>
  <si>
    <t>Mâcon Prissé</t>
  </si>
  <si>
    <t>Mâcon Solutré-Pouilly</t>
  </si>
  <si>
    <t>Mâcon Uchizy</t>
  </si>
  <si>
    <t>Mâcon Vergisson</t>
  </si>
  <si>
    <t>Mâcon Vinzelles</t>
  </si>
  <si>
    <t>Maine-Anjou</t>
  </si>
  <si>
    <t>Maranges premier cru</t>
  </si>
  <si>
    <t>Maranges premier cru Clos de la Boutière</t>
  </si>
  <si>
    <t>Maranges premier cru Clos de la Fussière</t>
  </si>
  <si>
    <t>Maranges premier cru La Fussière</t>
  </si>
  <si>
    <t>Maranges premier cru Le Clos des Loyères</t>
  </si>
  <si>
    <t>Maranges premier cru Le Clos des Rois</t>
  </si>
  <si>
    <t>Maranges premier cru Le Croix Moines</t>
  </si>
  <si>
    <t>Maranges premier cru Les Clos Roussots</t>
  </si>
  <si>
    <t xml:space="preserve">Marc d'Alsace </t>
  </si>
  <si>
    <t>Marc de Bourgogne</t>
  </si>
  <si>
    <t>Marc du Jura</t>
  </si>
  <si>
    <t>Mercurey premier cru</t>
  </si>
  <si>
    <t>Mercurey premier cru Clos de Paradis</t>
  </si>
  <si>
    <t>Mercurey premier cru Clos des Barraults</t>
  </si>
  <si>
    <t>Mercurey premier cru Clos des grands Voyens</t>
  </si>
  <si>
    <t>Mercurey Premier Cru Clos des Montaigus</t>
  </si>
  <si>
    <t>Mercurey premier cru Clos des Myglands</t>
  </si>
  <si>
    <t>Mercurey premier cru Clos du Château de Montaigu</t>
  </si>
  <si>
    <t>Mercurey premier cru Clos Marcilly</t>
  </si>
  <si>
    <t>Mercurey premier cru Clos Tonnerre</t>
  </si>
  <si>
    <t>Mercurey premier cru Clos Voyens</t>
  </si>
  <si>
    <t>Mercurey premier cru Grand Clos Fortoul</t>
  </si>
  <si>
    <t>Mercurey premier cru Griffères</t>
  </si>
  <si>
    <t>Mercurey premier cru La Bondue</t>
  </si>
  <si>
    <t>Mercurey premier cru La Cailloute</t>
  </si>
  <si>
    <t>Mercurey premier cru La Chassière</t>
  </si>
  <si>
    <t>Mercurey premier cru La Levrière</t>
  </si>
  <si>
    <t>Mercurey premier cru La Mission</t>
  </si>
  <si>
    <t>Mercurey premier cru Le Clos du Roy</t>
  </si>
  <si>
    <t>Mercurey premier cru Le Clos l'Evêque</t>
  </si>
  <si>
    <t>Mercurey premier cru Les Byots</t>
  </si>
  <si>
    <t>Mercurey premier cru Les Champs Martin</t>
  </si>
  <si>
    <t>Mercurey premier cru Les Combins</t>
  </si>
  <si>
    <t>Mercurey premier cru Les Crêts</t>
  </si>
  <si>
    <t>Mercurey premier cru Les Croichots</t>
  </si>
  <si>
    <t>Mercurey premier cru Les Fourneaux</t>
  </si>
  <si>
    <t>Mercurey premier cru Les Montaigus</t>
  </si>
  <si>
    <t>Mercurey premier cru Les Naugues</t>
  </si>
  <si>
    <t>Mercurey premier cru Les Puillets</t>
  </si>
  <si>
    <t>Mercurey premier cru Les Ruelles</t>
  </si>
  <si>
    <t>Mercurey premier cru Les Saumonts</t>
  </si>
  <si>
    <t>Mercurey premier cru Les Vasées</t>
  </si>
  <si>
    <t>Mercurey premier cru Les Velley</t>
  </si>
  <si>
    <t>Mercurey premier cru Sazenay</t>
  </si>
  <si>
    <t>Meursault premier cru</t>
  </si>
  <si>
    <t>Meursault premier cru Blagny</t>
  </si>
  <si>
    <t>Meursault premier cru Charmes</t>
  </si>
  <si>
    <t>Meursault premier cru Clos des Perrières</t>
  </si>
  <si>
    <t>Meursault premier cru Genevrières</t>
  </si>
  <si>
    <t>Meursault premier cru La Jeunellotte</t>
  </si>
  <si>
    <t>Meursault premier cru La Pièce sous le Bois</t>
  </si>
  <si>
    <t>Meursault premier cru Le Porusot</t>
  </si>
  <si>
    <t>Meursault premier cru Les Bouchères</t>
  </si>
  <si>
    <t>Meursault premier cru Les Caillerets</t>
  </si>
  <si>
    <t>Meursault premier cru Les Cras</t>
  </si>
  <si>
    <t>Meursault premier cru Les Gouttes d'Or</t>
  </si>
  <si>
    <t>Meursault premier cru Les Plures</t>
  </si>
  <si>
    <t>Meursault premier cru Les Ravelles</t>
  </si>
  <si>
    <t>Meursault premier cru Les Santenots Blancs</t>
  </si>
  <si>
    <t>Meursault premier cru Les Santenots du Milieu</t>
  </si>
  <si>
    <t>Meursault premier cru Perrières</t>
  </si>
  <si>
    <t>Meursault premier cru Porusot</t>
  </si>
  <si>
    <t>Meursault premier cru Sous Blagny</t>
  </si>
  <si>
    <t>Meursault premier cru Sous le Dos d'Ane</t>
  </si>
  <si>
    <t>Mirabelle de Lorraine</t>
  </si>
  <si>
    <t>Montagny premier cru</t>
  </si>
  <si>
    <t>Montagny premier cru Champ Toizeau</t>
  </si>
  <si>
    <t>Montagny premier cru Chazelle</t>
  </si>
  <si>
    <t>Montagny premier cru Cornevent</t>
  </si>
  <si>
    <t>Montagny premier cru Creux de Beaux Champs</t>
  </si>
  <si>
    <t>Montagny premier cru La Condemine du Vieux Château</t>
  </si>
  <si>
    <t>Montagny premier cru La Grande Pièce</t>
  </si>
  <si>
    <t>Montagny premier cru La Moullière</t>
  </si>
  <si>
    <t>Montagny premier cru Le Clos Chaudron</t>
  </si>
  <si>
    <t>Montagny premier cru Le Cloux</t>
  </si>
  <si>
    <t>Montagny premier cru Le Clouzot</t>
  </si>
  <si>
    <t>Montagny premier cru Le Vieux Château</t>
  </si>
  <si>
    <t>Montagny premier cru L'Epaule</t>
  </si>
  <si>
    <t>Montagny premier cru Les Bassets</t>
  </si>
  <si>
    <t>Montagny premier cru Les Beaux Champs</t>
  </si>
  <si>
    <t>Montagny premier cru Les Bonneveaux</t>
  </si>
  <si>
    <t>Montagny premier cru Les Bordes</t>
  </si>
  <si>
    <t>Montagny premier cru Les Bouchots</t>
  </si>
  <si>
    <t>Montagny premier cru Les Burnins</t>
  </si>
  <si>
    <t>Montagny premier cru Les Chaniots</t>
  </si>
  <si>
    <t>Montagny premier cru Les Chaumelottes</t>
  </si>
  <si>
    <t>Montagny premier cru Les Coères</t>
  </si>
  <si>
    <t>Montagny premier cru Les Combes</t>
  </si>
  <si>
    <t>Montagny premier cru Les Coudrettes</t>
  </si>
  <si>
    <t>Montagny premier cru Les Craboulettes</t>
  </si>
  <si>
    <t>Montagny premier cru Les Garchères</t>
  </si>
  <si>
    <t>Montagny premier cru Les Gouresses</t>
  </si>
  <si>
    <t>Montagny premier cru Les Jardins</t>
  </si>
  <si>
    <t>Montagny premier cru Les Las</t>
  </si>
  <si>
    <t>Montagny premier cru Les Macles</t>
  </si>
  <si>
    <t>Montagny premier cru Les Maroques</t>
  </si>
  <si>
    <t>Montagny premier cru Les Paquiers</t>
  </si>
  <si>
    <t>Montagny premier cru Les Perrières</t>
  </si>
  <si>
    <t>Montagny premier cru Les Pidances</t>
  </si>
  <si>
    <t>Montagny premier cru Les Platières</t>
  </si>
  <si>
    <t>Montagny premier cru Les Resses</t>
  </si>
  <si>
    <t>Montagny premier cru Les Treuffères</t>
  </si>
  <si>
    <t>Montagny premier cru Les Vignes Derrière</t>
  </si>
  <si>
    <t>Montagny premier cru Les Vignes des Prés</t>
  </si>
  <si>
    <t>Montagny premier cru Les Vignes longues</t>
  </si>
  <si>
    <t>Montagny premier cru Mont Laurent</t>
  </si>
  <si>
    <t>Montagny premier cru Montcuchot</t>
  </si>
  <si>
    <t>Montagny premier cru Montorge</t>
  </si>
  <si>
    <t>Montagny premier cru Sainte-Morille</t>
  </si>
  <si>
    <t>Montagny premier cru Saint-Ytages</t>
  </si>
  <si>
    <t>Montagny premier cru Sous les Feilles</t>
  </si>
  <si>
    <t>Montagny premier cru Vigne du soleil</t>
  </si>
  <si>
    <t>Montagny premier cru Vignes Couland</t>
  </si>
  <si>
    <t>Montagny premier cru Vignes Saint-Pierre</t>
  </si>
  <si>
    <t>Montagny premier cru Vignes sur le Cloux</t>
  </si>
  <si>
    <t>Monthélie premier cru</t>
  </si>
  <si>
    <t>Monthélie premier cru Clos des Toisières</t>
  </si>
  <si>
    <t>Monthélie premier cru La Taupine</t>
  </si>
  <si>
    <t>Monthélie premier cru Le Cas Rougeot</t>
  </si>
  <si>
    <t>Monthélie premier cru Le Château Gaillard</t>
  </si>
  <si>
    <t>Monthélie premier cru Le Clos Gauthey</t>
  </si>
  <si>
    <t>Monthélie premier cru Le Clou des Chênes</t>
  </si>
  <si>
    <t>Monthélie premier cru Le Meix Bataille</t>
  </si>
  <si>
    <t>Monthélie premier cru Le Village</t>
  </si>
  <si>
    <t>Monthélie premier cru Les Barbières</t>
  </si>
  <si>
    <t>Monthélie premier cru Les Champs Fulliots</t>
  </si>
  <si>
    <t>Monthélie premier cru Les Clous</t>
  </si>
  <si>
    <t>Monthélie premier cru Les Duresses</t>
  </si>
  <si>
    <t>Monthélie premier cru Les Riottes</t>
  </si>
  <si>
    <t>Monthélie premier cru Les Vignes Rondes</t>
  </si>
  <si>
    <t>Monthélie premier cru Sur la Velle</t>
  </si>
  <si>
    <t>Morey-Saint-Denis premier cru</t>
  </si>
  <si>
    <t>Morey-Saint-Denis premier cru Aux Charmes</t>
  </si>
  <si>
    <t>Morey-Saint-Denis premier cru Aux Cheseaux</t>
  </si>
  <si>
    <t>Morey-Saint-Denis premier cru Clos Baulet</t>
  </si>
  <si>
    <t>Morey-Saint-Denis premier cru Clos des Ormes</t>
  </si>
  <si>
    <t>Morey-Saint-Denis premier cru Clos Sorbè</t>
  </si>
  <si>
    <t>Morey-Saint-Denis premier cru Côte Rotie</t>
  </si>
  <si>
    <t>Morey-Saint-Denis premier cru La Bussière</t>
  </si>
  <si>
    <t>Morey-Saint-Denis premier cru La Riotte</t>
  </si>
  <si>
    <t>Morey-Saint-Denis premier cru Le Village</t>
  </si>
  <si>
    <t>Morey-Saint-Denis premier cru Les Blanchards</t>
  </si>
  <si>
    <t>Morey-Saint-Denis premier cru Les Chaffots</t>
  </si>
  <si>
    <t>Morey-Saint-Denis premier cru Les Charrières</t>
  </si>
  <si>
    <t>Morey-Saint-Denis premier cru Les Chenevery</t>
  </si>
  <si>
    <t>Morey-Saint-Denis premier cru Les Faconnières</t>
  </si>
  <si>
    <t>Morey-Saint-Denis premier cru Les Genavrières</t>
  </si>
  <si>
    <t>Morey-Saint-Denis premier cru Les Gruenchers</t>
  </si>
  <si>
    <t>Morey-Saint-Denis premier cru Les Millandes</t>
  </si>
  <si>
    <t>Morey-Saint-Denis premier cru Les Ruchots</t>
  </si>
  <si>
    <t>Morey-Saint-Denis premier cru Les Sorbès</t>
  </si>
  <si>
    <t>Morey-Saint-Denis premier cru Monts Luisants</t>
  </si>
  <si>
    <t>Moulin-à-Vent</t>
  </si>
  <si>
    <t>Muscadet Sèvre et Maine Château-Thébaud</t>
  </si>
  <si>
    <t>Muscadet Sèvre et Maine Clisson</t>
  </si>
  <si>
    <t>Muscadet Sèvre et Maine Gorges</t>
  </si>
  <si>
    <t>Muscadet Sèvre et Maine Goulaine</t>
  </si>
  <si>
    <t>Muscadet Sèvre et Maine Le Pallet</t>
  </si>
  <si>
    <t>Muscadet Sèvre et Maine Monnières - Saint-Fiacre</t>
  </si>
  <si>
    <t>Muscadet Sèvre et Maine Mouzillon - Tillières</t>
  </si>
  <si>
    <t>Nuits-Saint-Georges premier cru</t>
  </si>
  <si>
    <t>Nuits-Saint-Georges premier cru Aux Argillas</t>
  </si>
  <si>
    <t>Nuits-Saint-Georges premier cru Aux Boudots</t>
  </si>
  <si>
    <t>Nuits-Saint-Georges premier cru Aux Bousselots</t>
  </si>
  <si>
    <t>Nuits-Saint-Georges premier cru Aux Chaignots</t>
  </si>
  <si>
    <t>Nuits-Saint-Georges premier cru Aux Champs Perdrix</t>
  </si>
  <si>
    <t>Nuits-Saint-Georges premier cru Aux Cras</t>
  </si>
  <si>
    <t>Nuits-Saint-Georges premier cru Aux Murgers</t>
  </si>
  <si>
    <t>Nuits-Saint-Georges premier cru Aux Perdrix</t>
  </si>
  <si>
    <t>Nuits-Saint-Georges premier cru Aux Thorey</t>
  </si>
  <si>
    <t>Nuits-Saint-Georges premier cru Aux Vignerondes</t>
  </si>
  <si>
    <t>Nuits-Saint-Georges premier cru Chaines Carteaux</t>
  </si>
  <si>
    <t>Nuits-Saint-Georges premier cru Château Gris</t>
  </si>
  <si>
    <t>Nuits-Saint-Georges premier cru Clos Arlot</t>
  </si>
  <si>
    <t>Nuits-Saint-Georges premier cru Clos de la Maréchale</t>
  </si>
  <si>
    <t>Nuits-Saint-Georges premier cru Clos des Argillières</t>
  </si>
  <si>
    <t>Nuits-Saint-Georges premier cru Clos des Corvées</t>
  </si>
  <si>
    <t>Nuits-Saint-Georges premier cru Clos des Corvées Pagets</t>
  </si>
  <si>
    <t>Nuits-Saint-Georges premier cru Clos des Forêts Saint-Georges</t>
  </si>
  <si>
    <t>Nuits-Saint-Georges premier cru Clos des Grandes Vignes</t>
  </si>
  <si>
    <t>Nuits-Saint-Georges premier cru Clos des Porrets-Saint-Georges</t>
  </si>
  <si>
    <t>Nuits-Saint-Georges premier cru Clos Saint-Marc</t>
  </si>
  <si>
    <t>Nuits-Saint-Georges premier cru En la Perrière Noblot</t>
  </si>
  <si>
    <t>Nuits-Saint-Georges premier cru La Richemone</t>
  </si>
  <si>
    <t>Nuits-Saint-Georges premier cru Les Argillières</t>
  </si>
  <si>
    <t>Nuits-Saint-Georges premier cru Les Cailles</t>
  </si>
  <si>
    <t>Nuits-Saint-Georges premier cru Les Chabœufs</t>
  </si>
  <si>
    <t>Nuits-Saint-Georges premier cru Les Crots</t>
  </si>
  <si>
    <t>Nuits-Saint-Georges premier cru Les Damodes</t>
  </si>
  <si>
    <t>Nuits-Saint-Georges premier cru Les Didiers</t>
  </si>
  <si>
    <t>Nuits-Saint-Georges premier cru Les Hauts Pruliers</t>
  </si>
  <si>
    <t>Nuits-Saint-Georges premier cru Les Perrières</t>
  </si>
  <si>
    <t>Nuits-Saint-Georges premier cru Les Porrets-Saint-Georges</t>
  </si>
  <si>
    <t>Nuits-Saint-Georges premier cru Les Poulettes</t>
  </si>
  <si>
    <t>Nuits-Saint-Georges premier cru Les Procès</t>
  </si>
  <si>
    <t>Nuits-Saint-Georges premier cru Les Pruliers</t>
  </si>
  <si>
    <t>Nuits-Saint-Georges premier cru Les Saints-Georges</t>
  </si>
  <si>
    <t>Nuits-Saint-Georges premier cru Les Terres Blanches</t>
  </si>
  <si>
    <t>Nuits-Saint-Georges premier cru Les Vallerots</t>
  </si>
  <si>
    <t>Nuits-Saint-Georges premier cru Les Vaucrains</t>
  </si>
  <si>
    <t>Nuits-Saint-Georges premier cru Roncière</t>
  </si>
  <si>
    <t>Nuits-Saint-Georges premier cru Rue de Chaux</t>
  </si>
  <si>
    <t>Pernand-Vergelesses premier cru</t>
  </si>
  <si>
    <t xml:space="preserve">Pernand-Vergelesses premier cru Clos Berthet </t>
  </si>
  <si>
    <t>Pernand-Vergelesses premier cru Creux de la Net</t>
  </si>
  <si>
    <t>Pernand-Vergelesses premier cru En Caradeux</t>
  </si>
  <si>
    <t>Pernand-Vergelesses premier cru Ile des Vergelesses</t>
  </si>
  <si>
    <t>Pernand-Vergelesses premier cru Les Fichots</t>
  </si>
  <si>
    <t xml:space="preserve">Pernand-Vergelesses premier cru Sous Frétille </t>
  </si>
  <si>
    <t>Pernand-Vergelesses premier cru Vergelesses</t>
  </si>
  <si>
    <t>Pernand-Vergelesses premier cru Village de Pernand</t>
  </si>
  <si>
    <t>Pommard premier cru</t>
  </si>
  <si>
    <t>Pommard premier cru Clos Blanc</t>
  </si>
  <si>
    <t>Pommard premier cru Clos de la Commaraine</t>
  </si>
  <si>
    <t>Pommard premier cru Clos de Verger</t>
  </si>
  <si>
    <t>Pommard premier cru Clos des Epeneaux</t>
  </si>
  <si>
    <t>Pommard premier cru Derrière Saint-Jean</t>
  </si>
  <si>
    <t>Pommard premier cru En Largillière</t>
  </si>
  <si>
    <t>Pommard premier cru La Chanière</t>
  </si>
  <si>
    <t>Pommard premier cru La Platière</t>
  </si>
  <si>
    <t>Pommard premier cru La Refène</t>
  </si>
  <si>
    <t>Pommard premier cru Le Clos Micot</t>
  </si>
  <si>
    <t>Pommard premier cru Le Village</t>
  </si>
  <si>
    <t>Pommard premier cru Les Arvelets</t>
  </si>
  <si>
    <t>Pommard premier cru Les Bertins</t>
  </si>
  <si>
    <t>Pommard premier cru Les Boucherottes</t>
  </si>
  <si>
    <t>Pommard premier cru Les Chanlins-Bas</t>
  </si>
  <si>
    <t>Pommard premier cru Les Chaponnières</t>
  </si>
  <si>
    <t>Pommard premier cru Les Charmots</t>
  </si>
  <si>
    <t>Pommard premier cru Les Combes Dessus</t>
  </si>
  <si>
    <t>Pommard premier cru Les Croix Noires</t>
  </si>
  <si>
    <t>Pommard premier cru Les Fremiers</t>
  </si>
  <si>
    <t>Pommard premier cru Les Grands Epenots</t>
  </si>
  <si>
    <t>Pommard premier cru Les Jarolières</t>
  </si>
  <si>
    <t>Pommard premier cru Les Petits Epenots</t>
  </si>
  <si>
    <t>Pommard premier cru Les Pézerolles</t>
  </si>
  <si>
    <t>Pommard premier cru Les Poutures</t>
  </si>
  <si>
    <t>Pommard premier cru Les Rugiens Bas</t>
  </si>
  <si>
    <t>Pommard premier cru Les Rugiens Hauts</t>
  </si>
  <si>
    <t>Pommard premier cru Les Saussilles</t>
  </si>
  <si>
    <t>Pommeau de Bretagne</t>
  </si>
  <si>
    <t>Pommeau de Normandie</t>
  </si>
  <si>
    <t>Pommeau du Maine</t>
  </si>
  <si>
    <t>Pouilly-Fuissé premier cru</t>
  </si>
  <si>
    <t>Pouilly-Fuissé premier cru Au Vignerais</t>
  </si>
  <si>
    <t>Pouilly-Fuissé premier cru Aux Bouthières</t>
  </si>
  <si>
    <t>Pouilly-Fuissé premier cru Aux Chailloux</t>
  </si>
  <si>
    <t>Pouilly-Fuissé premier cru Aux Quarts</t>
  </si>
  <si>
    <t>Pouilly-Fuissé premier cru En France</t>
  </si>
  <si>
    <t>Pouilly-Fuissé premier cru En Servy</t>
  </si>
  <si>
    <t>Pouilly-Fuissé premier cru La Frérie</t>
  </si>
  <si>
    <t>Pouilly-Fuissé premier cru La Maréchaude</t>
  </si>
  <si>
    <t>Pouilly-Fuissé premier cru Le Clos</t>
  </si>
  <si>
    <t>Pouilly-Fuissé premier cru Le Clos de Monsieur Noly</t>
  </si>
  <si>
    <t>Pouilly-Fuissé premier cru Le Clos de Solutré</t>
  </si>
  <si>
    <t>Pouilly-Fuissé premier cru Le Clos Reyssier</t>
  </si>
  <si>
    <t>Pouilly-Fuissé premier cru Les Brulés</t>
  </si>
  <si>
    <t>Pouilly-Fuissé premier cru Les Chevrières</t>
  </si>
  <si>
    <t>Pouilly-Fuissé premier cru Les Crays</t>
  </si>
  <si>
    <t>Pouilly-Fuissé premier cru Les Ménétrières</t>
  </si>
  <si>
    <t>Pouilly-Fuissé premier cru Les Perrières</t>
  </si>
  <si>
    <t>Pouilly-Fuissé premier cru Les Reisses</t>
  </si>
  <si>
    <t>Pouilly-Fuissé premier cru Les Vignes Blanches</t>
  </si>
  <si>
    <t>Pouilly-Fuissé premier cru Pouilly</t>
  </si>
  <si>
    <t>Pouilly-Fuissé premier cru Sur la Roche</t>
  </si>
  <si>
    <t>Pouilly-Fuissé premier cru Vers Cras</t>
  </si>
  <si>
    <t>Pouilly-Fumé ou Blanc Fumé de Pouilly et Pouilly-sur-Loire</t>
  </si>
  <si>
    <t>Pouilly-Loché premier cru</t>
  </si>
  <si>
    <t>Pouilly-Loché premier cru les Mûres</t>
  </si>
  <si>
    <t>Pouilly-Vinzelles premier cru</t>
  </si>
  <si>
    <t>Pouilly-Vinzelles premier cru Les Longeays</t>
  </si>
  <si>
    <t>Pouilly-Vinzelles premier cru Les Pétaux</t>
  </si>
  <si>
    <t>Pouilly-Vinzelles premier cru Les Quarts</t>
  </si>
  <si>
    <t>Puligny-Montrachet premier cru</t>
  </si>
  <si>
    <t>Puligny-Montrachet premier cru Champ Canet</t>
  </si>
  <si>
    <t>Puligny-Montrachet premier cru Champ Gain</t>
  </si>
  <si>
    <t>Puligny-Montrachet premier cru Clavaillon</t>
  </si>
  <si>
    <t>Puligny-Montrachet premier cru Clos de la Garenne</t>
  </si>
  <si>
    <t>Puligny-Montrachet premier cru Clos de la Mouchère</t>
  </si>
  <si>
    <t>Puligny-Montrachet premier cru Hameau de Blagny</t>
  </si>
  <si>
    <t>Puligny-Montrachet premier cru La Garenne</t>
  </si>
  <si>
    <t>Puligny-Montrachet premier cru La Truffière</t>
  </si>
  <si>
    <t>Puligny-Montrachet premier cru Le Cailleret</t>
  </si>
  <si>
    <t>Puligny-Montrachet premier cru Les Chalumaux</t>
  </si>
  <si>
    <t>Puligny-Montrachet premier cru Les Combettes</t>
  </si>
  <si>
    <t>Puligny-Montrachet premier cru Les Demoiselles</t>
  </si>
  <si>
    <t>Puligny-Montrachet premier cru Les Folatières</t>
  </si>
  <si>
    <t>Puligny-Montrachet premier cru Les Perrières</t>
  </si>
  <si>
    <t>Puligny-Montrachet premier cru Les Pucelles</t>
  </si>
  <si>
    <t>Puligny-Montrachet premier cru Les Referts</t>
  </si>
  <si>
    <t>Puligny-Montrachet premier cru Sous le Puits</t>
  </si>
  <si>
    <t>Rasteau tranquille</t>
  </si>
  <si>
    <t>Rhum de la Martinique</t>
  </si>
  <si>
    <t>Roussette de Savoie Marestel</t>
  </si>
  <si>
    <t>Roussette de Savoie Monterminod</t>
  </si>
  <si>
    <t>Roussette de Savoie Monthoux</t>
  </si>
  <si>
    <t>Roussette du Bugey Montagnieu</t>
  </si>
  <si>
    <t>Roussette du Bugey Virieu-le-Grand</t>
  </si>
  <si>
    <t>Rully premier cru</t>
  </si>
  <si>
    <t>Rully premier cru Agneux</t>
  </si>
  <si>
    <t>Rully premier cru Champs Cloux</t>
  </si>
  <si>
    <t>Rully premier cru Chapitre</t>
  </si>
  <si>
    <t>Rully premier cru Clos du Chaigne</t>
  </si>
  <si>
    <t>Rully premier cru Clos St Jacques</t>
  </si>
  <si>
    <t>Rully premier cru Cloux</t>
  </si>
  <si>
    <t>Rully premier cru Grésigny</t>
  </si>
  <si>
    <t>Rully premier cru La Bressande</t>
  </si>
  <si>
    <t>Rully premier cru La Fosse</t>
  </si>
  <si>
    <t>Rully premier cru La Pucelle</t>
  </si>
  <si>
    <t>Rully premier cru La Renarde</t>
  </si>
  <si>
    <t>Rully premier cru Le Meix Cadot</t>
  </si>
  <si>
    <t>Rully premier cru Le Meix Caillet</t>
  </si>
  <si>
    <t>Rully premier cru Les Pierres</t>
  </si>
  <si>
    <t>Rully premier cru Margotés</t>
  </si>
  <si>
    <t>Rully premier cru Marissou</t>
  </si>
  <si>
    <t>Rully premier cru Molesme</t>
  </si>
  <si>
    <t>Rully premier cru Montpalais</t>
  </si>
  <si>
    <t>Rully premier cru Pillot</t>
  </si>
  <si>
    <t>Rully premier cru Préaux</t>
  </si>
  <si>
    <t>Rully premier cru Rabourcé</t>
  </si>
  <si>
    <t>Rully premier cru Raclot</t>
  </si>
  <si>
    <t>Rully premier cru Vauvry</t>
  </si>
  <si>
    <t>Saint-Amour</t>
  </si>
  <si>
    <t>Saint-Aubin premier cru</t>
  </si>
  <si>
    <t>Saint-Aubin premier cru Bas de Vermarain à l'Est</t>
  </si>
  <si>
    <t>Saint-Aubin premier cru Derrière Chez Edouard</t>
  </si>
  <si>
    <t>Saint-Aubin premier cru Derrière la Tour</t>
  </si>
  <si>
    <t>Saint-Aubin premier cru Echaille</t>
  </si>
  <si>
    <t>Saint-Aubin premier cru En Créot</t>
  </si>
  <si>
    <t>Saint-Aubin premier cru En la Ranché</t>
  </si>
  <si>
    <t>Saint-Aubin premier cru En Montceau</t>
  </si>
  <si>
    <t>Saint-Aubin premier cru En Remilly</t>
  </si>
  <si>
    <t>Saint-Aubin premier cru En Vollon à l'Est</t>
  </si>
  <si>
    <t>Saint-Aubin premier cru Es Champs</t>
  </si>
  <si>
    <t>Saint-Aubin premier cru La Chatenière</t>
  </si>
  <si>
    <t>Saint-Aubin premier cru Le Bas de Gamay à l'Est</t>
  </si>
  <si>
    <t>Saint-Aubin premier cru Le Charmois</t>
  </si>
  <si>
    <t>Saint-Aubin premier cru Le Puits</t>
  </si>
  <si>
    <t>Saint-Aubin premier cru Les Castets</t>
  </si>
  <si>
    <t>Saint-Aubin premier cru Les Champlots</t>
  </si>
  <si>
    <t>Saint-Aubin premier cru Les Combes</t>
  </si>
  <si>
    <t>Saint-Aubin premier cru Les Combes au Sud</t>
  </si>
  <si>
    <t>Saint-Aubin premier cru Les Cortons</t>
  </si>
  <si>
    <t>Saint-Aubin premier cru Les Frionnes</t>
  </si>
  <si>
    <t>Saint-Aubin premier cru Les Murgers des dents de chien</t>
  </si>
  <si>
    <t>Saint-Aubin premier cru Les Perrières</t>
  </si>
  <si>
    <t>Saint-Aubin premier cru Les Travers de Marinot</t>
  </si>
  <si>
    <t>Saint-Aubin premier cru Marinot</t>
  </si>
  <si>
    <t>Saint-Aubin premier cru Pitangeret</t>
  </si>
  <si>
    <t>Saint-Aubin premier cru Sous Roche Dumay</t>
  </si>
  <si>
    <t>Saint-Aubin premier cru Sur Gamay</t>
  </si>
  <si>
    <t>Saint-Aubin premier cru Sur le sentier du Clou</t>
  </si>
  <si>
    <t>Saint-Aubin premier cru Vignes Moingeon</t>
  </si>
  <si>
    <t>Saint-Aubin premier cru Village</t>
  </si>
  <si>
    <t>Santenay premier cru</t>
  </si>
  <si>
    <t>Santenay premier cru Beauregard</t>
  </si>
  <si>
    <t>Santenay premier cru Beaurepaire</t>
  </si>
  <si>
    <t>Santenay premier cru Clos de Tavannes</t>
  </si>
  <si>
    <t>Santenay premier cru Clos des Mouches</t>
  </si>
  <si>
    <t>Santenay premier cru Clos Faubard</t>
  </si>
  <si>
    <t>Santenay premier cru Clos Rousseau</t>
  </si>
  <si>
    <t>Santenay premier cru Grand Clos Rousseau</t>
  </si>
  <si>
    <t>Santenay premier cru La Comme</t>
  </si>
  <si>
    <t>Santenay premier cru La Maladière</t>
  </si>
  <si>
    <t>Santenay premier cru Les Gravières</t>
  </si>
  <si>
    <t>Santenay premier cru Les Gravières-Clos de Tavannes</t>
  </si>
  <si>
    <t>Santenay premier cru Passetemps</t>
  </si>
  <si>
    <t>Saumur (vins tranquilles blancs et rosés)</t>
  </si>
  <si>
    <t>Saumur (vins tranquilles rouges)</t>
  </si>
  <si>
    <t>Saumur mousseux</t>
  </si>
  <si>
    <t>Saumur Puy-Notre-Dame</t>
  </si>
  <si>
    <t>Savennières Roche aux Moines</t>
  </si>
  <si>
    <t>Savigny-lès-Beaune premier cru</t>
  </si>
  <si>
    <t>Savigny-lès-Beaune premier cru Aux Clous</t>
  </si>
  <si>
    <t>Savigny-lès-Beaune premier cru Aux Fourneaux</t>
  </si>
  <si>
    <t>Savigny-lès-Beaune premier cru Aux Gravains</t>
  </si>
  <si>
    <t>Savigny-lès-Beaune premier cru Aux Guettes</t>
  </si>
  <si>
    <t>Savigny-lès-Beaune premier cru Aux Serpentières</t>
  </si>
  <si>
    <t>Savigny-lès-Beaune premier cru Basses Vergelesses</t>
  </si>
  <si>
    <t>Savigny-lès-Beaune premier cru Bataillère</t>
  </si>
  <si>
    <t>Savigny-lès-Beaune premier cru Champ Chevrey</t>
  </si>
  <si>
    <t>Savigny-lès-Beaune premier cru La Dominode</t>
  </si>
  <si>
    <t>Savigny-lès-Beaune premier cru Les Charnières</t>
  </si>
  <si>
    <t>Savigny-lès-Beaune premier cru Les Hauts Jarrons</t>
  </si>
  <si>
    <t>Savigny-lès-Beaune premier cru Les Hauts Marconnets</t>
  </si>
  <si>
    <t>Savigny-lès-Beaune premier cru Les Jarrons</t>
  </si>
  <si>
    <t>Savigny-lès-Beaune premier cru Les Lavières</t>
  </si>
  <si>
    <t>Savigny-lès-Beaune premier cru Les Marconnets</t>
  </si>
  <si>
    <t>Savigny-lès-Beaune premier cru Les Narbantons</t>
  </si>
  <si>
    <t>Savigny-lès-Beaune premier cru Les Peuillets</t>
  </si>
  <si>
    <t>Savigny-lès-Beaune premier cru Les Rouvrettes</t>
  </si>
  <si>
    <t>Savigny-lès-Beaune premier cru Les Talmettes</t>
  </si>
  <si>
    <t>Savigny-lès-Beaune premier cru Les Vergelesses</t>
  </si>
  <si>
    <t>Savigny-lès-Beaune premier cru Petits Godeaux</t>
  </si>
  <si>
    <t>Savigny-lès-Beaune premier cru Redrescul</t>
  </si>
  <si>
    <t>Touraine Amboise</t>
  </si>
  <si>
    <t>Touraine Mesland</t>
  </si>
  <si>
    <t>Vézelay</t>
  </si>
  <si>
    <t>Vin de Corse ou Corse Calvi</t>
  </si>
  <si>
    <t>Vin de Corse ou Corse Coteaux du Cap Corse</t>
  </si>
  <si>
    <t>Vin de Corse ou Corse Porto-Vecchio</t>
  </si>
  <si>
    <t>Vin de Corse ou Corse Sartène</t>
  </si>
  <si>
    <t>Vin de Savoie Abymes</t>
  </si>
  <si>
    <t>Vin de Savoie Arbin</t>
  </si>
  <si>
    <t>Vin de Savoie Ayze</t>
  </si>
  <si>
    <t>Vin de Savoie Chautagne</t>
  </si>
  <si>
    <t>Vin de Savoie Chignin</t>
  </si>
  <si>
    <t>Vin de Savoie Crépy</t>
  </si>
  <si>
    <t>Vin de Savoie Cruet</t>
  </si>
  <si>
    <t>Vin de Savoie Jongieux</t>
  </si>
  <si>
    <t>Vin de Savoie Marignan</t>
  </si>
  <si>
    <t>Vin de Savoie Marin</t>
  </si>
  <si>
    <t>Vin de Savoie Saint-Jean-de-la-Porte</t>
  </si>
  <si>
    <t>Vin de Savoie Saint-Jeoire-Prieuré</t>
  </si>
  <si>
    <t>Volnay premier cru</t>
  </si>
  <si>
    <t>Volnay premier cru Carelle sous la Chapelle</t>
  </si>
  <si>
    <t>Volnay premier cru Champans</t>
  </si>
  <si>
    <t>Volnay premier cru Clos de la Barre</t>
  </si>
  <si>
    <t>Volnay premier cru Clos de la Bousse-d'Or</t>
  </si>
  <si>
    <t>Volnay premier cru Clos de la Cave des Ducs</t>
  </si>
  <si>
    <t>Volnay premier cru Clos de la Chapelle</t>
  </si>
  <si>
    <t>Volnay premier cru Clos de la Rougeotte</t>
  </si>
  <si>
    <t>Volnay premier cru Clos de l'Audignac</t>
  </si>
  <si>
    <t>Volnay premier cru Clos des 60 ouvrées</t>
  </si>
  <si>
    <t>Volnay premier cru Clos des Chênes</t>
  </si>
  <si>
    <t>Volnay premier cru Clos des Ducs</t>
  </si>
  <si>
    <t>Volnay premier cru Clos du Château des Ducs</t>
  </si>
  <si>
    <t>Volnay premier cru Clos du Verseuil</t>
  </si>
  <si>
    <t>Volnay premier cru En Chevret</t>
  </si>
  <si>
    <t>Volnay premier cru Frémiets</t>
  </si>
  <si>
    <t>Volnay premier cru Frémiets - Clos de la Rougeotte</t>
  </si>
  <si>
    <t>Volnay premier cru La Gigotte</t>
  </si>
  <si>
    <t>Volnay premier cru Lassolle</t>
  </si>
  <si>
    <t>Volnay premier cru Le Ronceret</t>
  </si>
  <si>
    <t>Volnay premier cru Le Village</t>
  </si>
  <si>
    <t>Volnay premier cru Les Angles</t>
  </si>
  <si>
    <t>Volnay premier cru Les Brouillards</t>
  </si>
  <si>
    <t>Volnay premier cru Les Caillerets</t>
  </si>
  <si>
    <t>Volnay premier cru Les Lurets</t>
  </si>
  <si>
    <t>Volnay premier cru Les Mitans</t>
  </si>
  <si>
    <t>Volnay premier cru Pitures Dessus</t>
  </si>
  <si>
    <t>Volnay premier cru Robardelle</t>
  </si>
  <si>
    <t>Volnay premier cru Santenots</t>
  </si>
  <si>
    <t>Volnay premier cru Taille Pieds</t>
  </si>
  <si>
    <t>Vosne-Romanée premier cru</t>
  </si>
  <si>
    <t>Vosne-Romanée premier cru Au-dessus des Malconsorts</t>
  </si>
  <si>
    <t>Vosne-Romanée premier cru Aux Brulées</t>
  </si>
  <si>
    <t>Vosne-Romanée premier cru Aux Malconsorts</t>
  </si>
  <si>
    <t>Vosne-Romanée premier cru Aux Raignots</t>
  </si>
  <si>
    <t>Vosne-Romanée premier cru Clos des Réas</t>
  </si>
  <si>
    <t>Vosne-Romanée premier cru Cros Parantoux</t>
  </si>
  <si>
    <t>Vosne-Romanée premier cru En Orveaux</t>
  </si>
  <si>
    <t>Vosne-Romanée premier cru La Croix Rameau</t>
  </si>
  <si>
    <t>Vosne-Romanée premier cru Les Beaux Monts</t>
  </si>
  <si>
    <t>Vosne-Romanée premier cru Les Chaumes</t>
  </si>
  <si>
    <t>Vosne-Romanée premier cru Les Gaudichots</t>
  </si>
  <si>
    <t>Vosne-Romanée premier cru Les Petis Monts</t>
  </si>
  <si>
    <t>Vosne-Romanée premier cru Les Rouges</t>
  </si>
  <si>
    <t>Vosne-Romanée premier cru Les Suchots</t>
  </si>
  <si>
    <t>Vougeot premier cru Clos de la Perrière</t>
  </si>
  <si>
    <t>Vougeot premier cru Le Clos Blanc</t>
  </si>
  <si>
    <t>Vougeot premier cru Les Crâs</t>
  </si>
  <si>
    <t>Vougeot premier cru Les Petits Vougeots</t>
  </si>
  <si>
    <t>Whisky breton ou Whisky de Bretagne</t>
  </si>
  <si>
    <t>AOC data</t>
  </si>
  <si>
    <t>Hautes Côtes de Beaune</t>
  </si>
  <si>
    <t>Gevrey-Chambertin 1er Cru</t>
  </si>
  <si>
    <t>Givry 1er Cru</t>
  </si>
  <si>
    <t>Base Cave Clean</t>
  </si>
  <si>
    <t>Arbin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</si>
</sst>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/>
    <xf numFmtId="0" fontId="0" fillId="0" borderId="1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3860-5876-451E-AE11-59F5C193DF18}">
  <dimension ref="A1:J5001"/>
  <sheetViews>
    <sheetView topLeftCell="A4983" workbookViewId="0">
      <selection activeCell="A4984" sqref="A4984"/>
    </sheetView>
  </sheetViews>
  <sheetFormatPr baseColWidth="10"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50</v>
      </c>
      <c r="B3" t="s">
        <v>51</v>
      </c>
      <c r="C3" t="s">
        <v>52</v>
      </c>
      <c r="D3" t="s">
        <v>53</v>
      </c>
      <c r="E3" t="s">
        <v>54</v>
      </c>
    </row>
    <row r="4" spans="1:6" x14ac:dyDescent="0.35">
      <c r="A4" t="s">
        <v>50</v>
      </c>
      <c r="B4" t="s">
        <v>51</v>
      </c>
      <c r="C4" t="s">
        <v>52</v>
      </c>
      <c r="D4" t="s">
        <v>55</v>
      </c>
    </row>
    <row r="5" spans="1:6" x14ac:dyDescent="0.35">
      <c r="A5" t="s">
        <v>56</v>
      </c>
      <c r="B5" t="s">
        <v>57</v>
      </c>
      <c r="C5" t="s">
        <v>58</v>
      </c>
    </row>
    <row r="6" spans="1:6" x14ac:dyDescent="0.35">
      <c r="A6" t="s">
        <v>50</v>
      </c>
      <c r="B6" t="s">
        <v>51</v>
      </c>
      <c r="C6" t="s">
        <v>52</v>
      </c>
    </row>
    <row r="7" spans="1:6" x14ac:dyDescent="0.35">
      <c r="A7" t="s">
        <v>50</v>
      </c>
      <c r="B7" t="s">
        <v>51</v>
      </c>
      <c r="C7" t="s">
        <v>52</v>
      </c>
      <c r="D7" t="s">
        <v>59</v>
      </c>
    </row>
    <row r="8" spans="1:6" x14ac:dyDescent="0.35">
      <c r="A8" t="s">
        <v>50</v>
      </c>
      <c r="B8" t="s">
        <v>51</v>
      </c>
      <c r="C8" t="s">
        <v>52</v>
      </c>
      <c r="D8" t="s">
        <v>60</v>
      </c>
      <c r="E8" t="s">
        <v>61</v>
      </c>
      <c r="F8" t="s">
        <v>62</v>
      </c>
    </row>
    <row r="9" spans="1:6" x14ac:dyDescent="0.35">
      <c r="A9" t="s">
        <v>56</v>
      </c>
      <c r="B9" t="s">
        <v>57</v>
      </c>
      <c r="C9" t="s">
        <v>58</v>
      </c>
    </row>
    <row r="10" spans="1:6" x14ac:dyDescent="0.35">
      <c r="A10" t="s">
        <v>2</v>
      </c>
    </row>
    <row r="11" spans="1:6" x14ac:dyDescent="0.35">
      <c r="A11" t="s">
        <v>56</v>
      </c>
      <c r="B11" t="s">
        <v>57</v>
      </c>
    </row>
    <row r="12" spans="1:6" x14ac:dyDescent="0.35">
      <c r="A12" t="s">
        <v>1</v>
      </c>
    </row>
    <row r="13" spans="1:6" x14ac:dyDescent="0.35">
      <c r="A13" t="s">
        <v>50</v>
      </c>
      <c r="B13" t="s">
        <v>51</v>
      </c>
      <c r="C13" t="s">
        <v>52</v>
      </c>
      <c r="D13" t="s">
        <v>63</v>
      </c>
    </row>
    <row r="14" spans="1:6" x14ac:dyDescent="0.35">
      <c r="A14" t="s">
        <v>50</v>
      </c>
      <c r="B14" t="s">
        <v>51</v>
      </c>
      <c r="C14" t="s">
        <v>52</v>
      </c>
      <c r="D14" t="s">
        <v>61</v>
      </c>
    </row>
    <row r="15" spans="1:6" x14ac:dyDescent="0.35">
      <c r="A15" t="s">
        <v>50</v>
      </c>
      <c r="B15" t="s">
        <v>51</v>
      </c>
      <c r="C15" t="s">
        <v>52</v>
      </c>
      <c r="D15" t="s">
        <v>63</v>
      </c>
    </row>
    <row r="16" spans="1:6" x14ac:dyDescent="0.35">
      <c r="A16" t="s">
        <v>1</v>
      </c>
    </row>
    <row r="17" spans="1:6" x14ac:dyDescent="0.35">
      <c r="A17" t="s">
        <v>64</v>
      </c>
      <c r="B17" t="s">
        <v>65</v>
      </c>
      <c r="C17" t="s">
        <v>18</v>
      </c>
    </row>
    <row r="18" spans="1:6" x14ac:dyDescent="0.35">
      <c r="A18" t="s">
        <v>50</v>
      </c>
      <c r="B18" t="s">
        <v>51</v>
      </c>
      <c r="C18" t="s">
        <v>52</v>
      </c>
      <c r="D18" t="s">
        <v>63</v>
      </c>
    </row>
    <row r="19" spans="1:6" x14ac:dyDescent="0.35">
      <c r="A19" t="s">
        <v>66</v>
      </c>
      <c r="B19" t="s">
        <v>67</v>
      </c>
      <c r="C19" t="s">
        <v>68</v>
      </c>
    </row>
    <row r="20" spans="1:6" x14ac:dyDescent="0.35">
      <c r="A20" t="s">
        <v>2</v>
      </c>
    </row>
    <row r="21" spans="1:6" x14ac:dyDescent="0.35">
      <c r="A21" t="s">
        <v>50</v>
      </c>
      <c r="B21" t="s">
        <v>51</v>
      </c>
      <c r="C21" t="s">
        <v>52</v>
      </c>
      <c r="D21" t="s">
        <v>60</v>
      </c>
      <c r="E21" t="s">
        <v>61</v>
      </c>
      <c r="F21" t="s">
        <v>69</v>
      </c>
    </row>
    <row r="22" spans="1:6" x14ac:dyDescent="0.35">
      <c r="A22" t="s">
        <v>50</v>
      </c>
      <c r="B22" t="s">
        <v>51</v>
      </c>
      <c r="C22" t="s">
        <v>52</v>
      </c>
      <c r="D22" t="s">
        <v>53</v>
      </c>
      <c r="E22" t="s">
        <v>54</v>
      </c>
    </row>
    <row r="23" spans="1:6" x14ac:dyDescent="0.35">
      <c r="A23" t="s">
        <v>50</v>
      </c>
      <c r="B23" t="s">
        <v>51</v>
      </c>
      <c r="C23" t="s">
        <v>52</v>
      </c>
      <c r="D23" t="s">
        <v>60</v>
      </c>
      <c r="E23" t="s">
        <v>61</v>
      </c>
    </row>
    <row r="24" spans="1:6" x14ac:dyDescent="0.35">
      <c r="A24" t="s">
        <v>50</v>
      </c>
      <c r="B24" t="s">
        <v>70</v>
      </c>
      <c r="C24" t="s">
        <v>51</v>
      </c>
      <c r="D24" t="s">
        <v>52</v>
      </c>
      <c r="E24" t="s">
        <v>63</v>
      </c>
      <c r="F24" t="s">
        <v>71</v>
      </c>
    </row>
    <row r="25" spans="1:6" x14ac:dyDescent="0.35">
      <c r="A25" t="s">
        <v>50</v>
      </c>
      <c r="B25" t="s">
        <v>51</v>
      </c>
      <c r="C25" t="s">
        <v>52</v>
      </c>
      <c r="D25" t="s">
        <v>63</v>
      </c>
    </row>
    <row r="26" spans="1:6" x14ac:dyDescent="0.35">
      <c r="A26" t="s">
        <v>50</v>
      </c>
      <c r="B26" t="s">
        <v>51</v>
      </c>
      <c r="C26" t="s">
        <v>52</v>
      </c>
    </row>
    <row r="27" spans="1:6" x14ac:dyDescent="0.35">
      <c r="A27" t="s">
        <v>50</v>
      </c>
      <c r="B27" t="s">
        <v>51</v>
      </c>
      <c r="C27" t="s">
        <v>52</v>
      </c>
      <c r="D27" t="s">
        <v>63</v>
      </c>
    </row>
    <row r="28" spans="1:6" x14ac:dyDescent="0.35">
      <c r="A28" t="s">
        <v>50</v>
      </c>
      <c r="B28" t="s">
        <v>51</v>
      </c>
      <c r="C28" t="s">
        <v>52</v>
      </c>
      <c r="D28" t="s">
        <v>72</v>
      </c>
      <c r="E28" t="s">
        <v>73</v>
      </c>
    </row>
    <row r="29" spans="1:6" x14ac:dyDescent="0.35">
      <c r="A29" t="s">
        <v>50</v>
      </c>
      <c r="B29" t="s">
        <v>51</v>
      </c>
      <c r="C29" t="s">
        <v>52</v>
      </c>
      <c r="D29" t="s">
        <v>60</v>
      </c>
      <c r="E29" t="s">
        <v>61</v>
      </c>
    </row>
    <row r="30" spans="1:6" x14ac:dyDescent="0.35">
      <c r="A30" t="s">
        <v>50</v>
      </c>
      <c r="B30" t="s">
        <v>70</v>
      </c>
      <c r="C30" t="s">
        <v>51</v>
      </c>
      <c r="D30" t="s">
        <v>52</v>
      </c>
      <c r="E30" t="s">
        <v>63</v>
      </c>
      <c r="F30" t="s">
        <v>71</v>
      </c>
    </row>
    <row r="31" spans="1:6" x14ac:dyDescent="0.35">
      <c r="A31" t="s">
        <v>50</v>
      </c>
      <c r="B31" t="s">
        <v>51</v>
      </c>
      <c r="C31" t="s">
        <v>52</v>
      </c>
    </row>
    <row r="32" spans="1:6" x14ac:dyDescent="0.35">
      <c r="A32" t="s">
        <v>2</v>
      </c>
    </row>
    <row r="33" spans="1:6" x14ac:dyDescent="0.35">
      <c r="A33" t="s">
        <v>50</v>
      </c>
      <c r="B33" t="s">
        <v>51</v>
      </c>
      <c r="C33" t="s">
        <v>52</v>
      </c>
      <c r="D33" t="s">
        <v>63</v>
      </c>
    </row>
    <row r="34" spans="1:6" x14ac:dyDescent="0.35">
      <c r="A34" t="s">
        <v>50</v>
      </c>
      <c r="B34" t="s">
        <v>51</v>
      </c>
      <c r="C34" t="s">
        <v>52</v>
      </c>
      <c r="D34" t="s">
        <v>74</v>
      </c>
      <c r="E34" t="s">
        <v>75</v>
      </c>
    </row>
    <row r="35" spans="1:6" x14ac:dyDescent="0.35">
      <c r="A35" t="s">
        <v>50</v>
      </c>
      <c r="B35" t="s">
        <v>51</v>
      </c>
      <c r="C35" t="s">
        <v>52</v>
      </c>
      <c r="D35" t="s">
        <v>60</v>
      </c>
      <c r="E35" t="s">
        <v>61</v>
      </c>
    </row>
    <row r="36" spans="1:6" x14ac:dyDescent="0.35">
      <c r="A36" t="s">
        <v>50</v>
      </c>
      <c r="B36" t="s">
        <v>51</v>
      </c>
      <c r="C36" t="s">
        <v>52</v>
      </c>
    </row>
    <row r="37" spans="1:6" x14ac:dyDescent="0.35">
      <c r="A37" t="s">
        <v>56</v>
      </c>
      <c r="B37" t="s">
        <v>57</v>
      </c>
    </row>
    <row r="38" spans="1:6" x14ac:dyDescent="0.35">
      <c r="A38" t="s">
        <v>2</v>
      </c>
    </row>
    <row r="39" spans="1:6" x14ac:dyDescent="0.35">
      <c r="A39" t="s">
        <v>50</v>
      </c>
      <c r="B39" t="s">
        <v>51</v>
      </c>
      <c r="C39" t="s">
        <v>52</v>
      </c>
    </row>
    <row r="40" spans="1:6" x14ac:dyDescent="0.35">
      <c r="A40" t="s">
        <v>50</v>
      </c>
      <c r="B40" t="s">
        <v>70</v>
      </c>
      <c r="C40" t="s">
        <v>51</v>
      </c>
      <c r="D40" t="s">
        <v>52</v>
      </c>
      <c r="E40" t="s">
        <v>63</v>
      </c>
      <c r="F40" t="s">
        <v>71</v>
      </c>
    </row>
    <row r="41" spans="1:6" x14ac:dyDescent="0.35">
      <c r="A41" t="s">
        <v>3</v>
      </c>
    </row>
    <row r="42" spans="1:6" x14ac:dyDescent="0.35">
      <c r="A42" t="s">
        <v>50</v>
      </c>
      <c r="B42" t="s">
        <v>51</v>
      </c>
      <c r="C42" t="s">
        <v>52</v>
      </c>
      <c r="D42" t="s">
        <v>60</v>
      </c>
      <c r="E42" t="s">
        <v>61</v>
      </c>
      <c r="F42" t="s">
        <v>76</v>
      </c>
    </row>
    <row r="43" spans="1:6" x14ac:dyDescent="0.35">
      <c r="A43" t="s">
        <v>1</v>
      </c>
    </row>
    <row r="44" spans="1:6" x14ac:dyDescent="0.35">
      <c r="A44" t="s">
        <v>50</v>
      </c>
      <c r="B44" t="s">
        <v>51</v>
      </c>
      <c r="C44" t="s">
        <v>52</v>
      </c>
      <c r="D44" t="s">
        <v>77</v>
      </c>
      <c r="E44" t="s">
        <v>78</v>
      </c>
    </row>
    <row r="45" spans="1:6" x14ac:dyDescent="0.35">
      <c r="A45" t="s">
        <v>50</v>
      </c>
      <c r="B45" t="s">
        <v>51</v>
      </c>
      <c r="C45" t="s">
        <v>52</v>
      </c>
    </row>
    <row r="46" spans="1:6" x14ac:dyDescent="0.35">
      <c r="A46" t="s">
        <v>50</v>
      </c>
      <c r="B46" t="s">
        <v>51</v>
      </c>
      <c r="C46" t="s">
        <v>52</v>
      </c>
      <c r="D46" t="s">
        <v>63</v>
      </c>
    </row>
    <row r="47" spans="1:6" x14ac:dyDescent="0.35">
      <c r="A47" t="s">
        <v>50</v>
      </c>
      <c r="B47" t="s">
        <v>51</v>
      </c>
      <c r="C47" t="s">
        <v>52</v>
      </c>
      <c r="D47" t="s">
        <v>77</v>
      </c>
      <c r="E47" t="s">
        <v>78</v>
      </c>
    </row>
    <row r="48" spans="1:6" x14ac:dyDescent="0.35">
      <c r="A48" t="s">
        <v>50</v>
      </c>
      <c r="B48" t="s">
        <v>51</v>
      </c>
      <c r="C48" t="s">
        <v>52</v>
      </c>
    </row>
    <row r="49" spans="1:6" x14ac:dyDescent="0.35">
      <c r="A49" t="s">
        <v>50</v>
      </c>
      <c r="B49" t="s">
        <v>51</v>
      </c>
      <c r="C49" t="s">
        <v>52</v>
      </c>
    </row>
    <row r="50" spans="1:6" x14ac:dyDescent="0.35">
      <c r="A50" t="s">
        <v>1</v>
      </c>
    </row>
    <row r="51" spans="1:6" x14ac:dyDescent="0.35">
      <c r="A51" t="s">
        <v>4</v>
      </c>
    </row>
    <row r="52" spans="1:6" x14ac:dyDescent="0.35">
      <c r="A52" t="s">
        <v>50</v>
      </c>
      <c r="B52" t="s">
        <v>51</v>
      </c>
      <c r="C52" t="s">
        <v>52</v>
      </c>
    </row>
    <row r="53" spans="1:6" x14ac:dyDescent="0.35">
      <c r="A53" t="s">
        <v>50</v>
      </c>
      <c r="B53" t="s">
        <v>51</v>
      </c>
      <c r="C53" t="s">
        <v>52</v>
      </c>
    </row>
    <row r="54" spans="1:6" x14ac:dyDescent="0.35">
      <c r="A54" t="s">
        <v>50</v>
      </c>
      <c r="B54" t="s">
        <v>51</v>
      </c>
      <c r="C54" t="s">
        <v>52</v>
      </c>
      <c r="D54" t="s">
        <v>53</v>
      </c>
      <c r="E54" t="s">
        <v>54</v>
      </c>
    </row>
    <row r="55" spans="1:6" x14ac:dyDescent="0.35">
      <c r="A55" t="s">
        <v>50</v>
      </c>
      <c r="B55" t="s">
        <v>51</v>
      </c>
      <c r="C55" t="s">
        <v>52</v>
      </c>
      <c r="D55" t="s">
        <v>74</v>
      </c>
      <c r="E55" t="s">
        <v>75</v>
      </c>
    </row>
    <row r="56" spans="1:6" x14ac:dyDescent="0.35">
      <c r="A56" t="s">
        <v>50</v>
      </c>
      <c r="B56" t="s">
        <v>70</v>
      </c>
      <c r="C56" t="s">
        <v>51</v>
      </c>
      <c r="D56" t="s">
        <v>52</v>
      </c>
      <c r="E56" t="s">
        <v>63</v>
      </c>
      <c r="F56" t="s">
        <v>71</v>
      </c>
    </row>
    <row r="57" spans="1:6" x14ac:dyDescent="0.35">
      <c r="A57" t="s">
        <v>50</v>
      </c>
      <c r="B57" t="s">
        <v>51</v>
      </c>
      <c r="C57" t="s">
        <v>52</v>
      </c>
      <c r="D57" t="s">
        <v>63</v>
      </c>
    </row>
    <row r="58" spans="1:6" x14ac:dyDescent="0.35">
      <c r="A58" t="s">
        <v>50</v>
      </c>
      <c r="B58" t="s">
        <v>51</v>
      </c>
      <c r="C58" t="s">
        <v>52</v>
      </c>
      <c r="D58" t="s">
        <v>60</v>
      </c>
      <c r="E58" t="s">
        <v>61</v>
      </c>
    </row>
    <row r="59" spans="1:6" x14ac:dyDescent="0.35">
      <c r="A59" t="s">
        <v>50</v>
      </c>
      <c r="B59" t="s">
        <v>51</v>
      </c>
      <c r="C59" t="s">
        <v>52</v>
      </c>
    </row>
    <row r="60" spans="1:6" x14ac:dyDescent="0.35">
      <c r="A60" t="s">
        <v>50</v>
      </c>
      <c r="B60" t="s">
        <v>51</v>
      </c>
      <c r="C60" t="s">
        <v>52</v>
      </c>
      <c r="D60" t="s">
        <v>61</v>
      </c>
    </row>
    <row r="61" spans="1:6" x14ac:dyDescent="0.35">
      <c r="A61" t="s">
        <v>79</v>
      </c>
      <c r="B61" t="s">
        <v>50</v>
      </c>
      <c r="C61" t="s">
        <v>51</v>
      </c>
      <c r="D61" t="s">
        <v>52</v>
      </c>
      <c r="E61" t="s">
        <v>80</v>
      </c>
    </row>
    <row r="62" spans="1:6" x14ac:dyDescent="0.35">
      <c r="A62" t="s">
        <v>50</v>
      </c>
      <c r="B62" t="s">
        <v>51</v>
      </c>
      <c r="C62" t="s">
        <v>52</v>
      </c>
      <c r="D62" t="s">
        <v>53</v>
      </c>
      <c r="E62" t="s">
        <v>54</v>
      </c>
    </row>
    <row r="63" spans="1:6" x14ac:dyDescent="0.35">
      <c r="A63" t="s">
        <v>50</v>
      </c>
      <c r="B63" t="s">
        <v>51</v>
      </c>
      <c r="C63" t="s">
        <v>52</v>
      </c>
    </row>
    <row r="64" spans="1:6" x14ac:dyDescent="0.35">
      <c r="A64" t="s">
        <v>50</v>
      </c>
      <c r="B64" t="s">
        <v>51</v>
      </c>
      <c r="C64" t="s">
        <v>52</v>
      </c>
      <c r="D64" t="s">
        <v>60</v>
      </c>
      <c r="E64" t="s">
        <v>61</v>
      </c>
      <c r="F64" t="s">
        <v>76</v>
      </c>
    </row>
    <row r="65" spans="1:7" x14ac:dyDescent="0.35">
      <c r="A65" t="s">
        <v>50</v>
      </c>
      <c r="B65" t="s">
        <v>51</v>
      </c>
      <c r="C65" t="s">
        <v>52</v>
      </c>
      <c r="D65" t="s">
        <v>61</v>
      </c>
    </row>
    <row r="66" spans="1:7" x14ac:dyDescent="0.35">
      <c r="A66" t="s">
        <v>1</v>
      </c>
    </row>
    <row r="67" spans="1:7" x14ac:dyDescent="0.35">
      <c r="A67" t="s">
        <v>50</v>
      </c>
      <c r="B67" t="s">
        <v>51</v>
      </c>
      <c r="C67" t="s">
        <v>52</v>
      </c>
      <c r="D67" t="s">
        <v>63</v>
      </c>
    </row>
    <row r="68" spans="1:7" x14ac:dyDescent="0.35">
      <c r="A68" t="s">
        <v>50</v>
      </c>
      <c r="B68" t="s">
        <v>51</v>
      </c>
      <c r="C68" t="s">
        <v>52</v>
      </c>
      <c r="D68" t="s">
        <v>61</v>
      </c>
    </row>
    <row r="69" spans="1:7" x14ac:dyDescent="0.35">
      <c r="A69" t="s">
        <v>50</v>
      </c>
      <c r="B69" t="s">
        <v>51</v>
      </c>
      <c r="C69" t="s">
        <v>52</v>
      </c>
      <c r="D69" t="s">
        <v>63</v>
      </c>
    </row>
    <row r="70" spans="1:7" x14ac:dyDescent="0.35">
      <c r="A70" t="s">
        <v>50</v>
      </c>
      <c r="B70" t="s">
        <v>51</v>
      </c>
      <c r="C70" t="s">
        <v>52</v>
      </c>
      <c r="D70" t="s">
        <v>61</v>
      </c>
    </row>
    <row r="71" spans="1:7" x14ac:dyDescent="0.35">
      <c r="A71" t="s">
        <v>81</v>
      </c>
      <c r="B71" t="s">
        <v>11</v>
      </c>
    </row>
    <row r="72" spans="1:7" x14ac:dyDescent="0.35">
      <c r="A72" t="s">
        <v>50</v>
      </c>
      <c r="B72" t="s">
        <v>51</v>
      </c>
      <c r="C72" t="s">
        <v>82</v>
      </c>
      <c r="D72" t="s">
        <v>52</v>
      </c>
      <c r="E72" t="s">
        <v>77</v>
      </c>
      <c r="F72" t="s">
        <v>83</v>
      </c>
      <c r="G72" t="s">
        <v>84</v>
      </c>
    </row>
    <row r="73" spans="1:7" x14ac:dyDescent="0.35">
      <c r="A73" t="s">
        <v>5</v>
      </c>
    </row>
    <row r="74" spans="1:7" x14ac:dyDescent="0.35">
      <c r="A74" t="s">
        <v>50</v>
      </c>
      <c r="B74" t="s">
        <v>51</v>
      </c>
      <c r="C74" t="s">
        <v>52</v>
      </c>
      <c r="D74" t="s">
        <v>85</v>
      </c>
    </row>
    <row r="75" spans="1:7" x14ac:dyDescent="0.35">
      <c r="A75" t="s">
        <v>50</v>
      </c>
      <c r="B75" t="s">
        <v>51</v>
      </c>
      <c r="C75" t="s">
        <v>52</v>
      </c>
      <c r="D75" t="s">
        <v>63</v>
      </c>
    </row>
    <row r="76" spans="1:7" x14ac:dyDescent="0.35">
      <c r="A76" t="s">
        <v>50</v>
      </c>
      <c r="B76" t="s">
        <v>51</v>
      </c>
      <c r="C76" t="s">
        <v>52</v>
      </c>
      <c r="D76" t="s">
        <v>63</v>
      </c>
    </row>
    <row r="77" spans="1:7" x14ac:dyDescent="0.35">
      <c r="A77" t="s">
        <v>50</v>
      </c>
      <c r="B77" t="s">
        <v>51</v>
      </c>
      <c r="C77" t="s">
        <v>52</v>
      </c>
      <c r="D77" t="s">
        <v>77</v>
      </c>
      <c r="E77" t="s">
        <v>83</v>
      </c>
      <c r="F77" t="s">
        <v>84</v>
      </c>
      <c r="G77" t="s">
        <v>86</v>
      </c>
    </row>
    <row r="78" spans="1:7" x14ac:dyDescent="0.35">
      <c r="A78" t="s">
        <v>50</v>
      </c>
      <c r="B78" t="s">
        <v>51</v>
      </c>
      <c r="C78" t="s">
        <v>52</v>
      </c>
      <c r="D78" t="s">
        <v>74</v>
      </c>
      <c r="E78" t="s">
        <v>75</v>
      </c>
    </row>
    <row r="79" spans="1:7" x14ac:dyDescent="0.35">
      <c r="A79" t="s">
        <v>50</v>
      </c>
      <c r="B79" t="s">
        <v>51</v>
      </c>
      <c r="C79" t="s">
        <v>52</v>
      </c>
    </row>
    <row r="80" spans="1:7" x14ac:dyDescent="0.35">
      <c r="A80" t="s">
        <v>50</v>
      </c>
      <c r="B80" t="s">
        <v>51</v>
      </c>
      <c r="C80" t="s">
        <v>52</v>
      </c>
      <c r="D80" t="s">
        <v>63</v>
      </c>
    </row>
    <row r="81" spans="1:6" x14ac:dyDescent="0.35">
      <c r="A81" t="s">
        <v>50</v>
      </c>
      <c r="B81" t="s">
        <v>51</v>
      </c>
      <c r="C81" t="s">
        <v>52</v>
      </c>
      <c r="D81" t="s">
        <v>61</v>
      </c>
    </row>
    <row r="82" spans="1:6" x14ac:dyDescent="0.35">
      <c r="A82" t="s">
        <v>1</v>
      </c>
      <c r="B82" t="s">
        <v>87</v>
      </c>
      <c r="C82" t="s">
        <v>88</v>
      </c>
    </row>
    <row r="83" spans="1:6" x14ac:dyDescent="0.35">
      <c r="A83" t="s">
        <v>50</v>
      </c>
      <c r="B83" t="s">
        <v>51</v>
      </c>
      <c r="C83" t="s">
        <v>52</v>
      </c>
      <c r="D83" t="s">
        <v>63</v>
      </c>
    </row>
    <row r="84" spans="1:6" x14ac:dyDescent="0.35">
      <c r="A84" t="s">
        <v>50</v>
      </c>
      <c r="B84" t="s">
        <v>51</v>
      </c>
      <c r="C84" t="s">
        <v>52</v>
      </c>
      <c r="D84" t="s">
        <v>89</v>
      </c>
      <c r="E84" t="s">
        <v>72</v>
      </c>
      <c r="F84" t="s">
        <v>73</v>
      </c>
    </row>
    <row r="85" spans="1:6" x14ac:dyDescent="0.35">
      <c r="A85" t="s">
        <v>56</v>
      </c>
      <c r="B85" t="s">
        <v>57</v>
      </c>
    </row>
    <row r="86" spans="1:6" x14ac:dyDescent="0.35">
      <c r="A86" t="s">
        <v>50</v>
      </c>
      <c r="B86" t="s">
        <v>51</v>
      </c>
      <c r="C86" t="s">
        <v>52</v>
      </c>
      <c r="D86" t="s">
        <v>72</v>
      </c>
      <c r="E86" t="s">
        <v>73</v>
      </c>
    </row>
    <row r="87" spans="1:6" x14ac:dyDescent="0.35">
      <c r="A87" t="s">
        <v>6</v>
      </c>
    </row>
    <row r="88" spans="1:6" x14ac:dyDescent="0.35">
      <c r="A88" t="s">
        <v>81</v>
      </c>
      <c r="B88" t="s">
        <v>11</v>
      </c>
    </row>
    <row r="89" spans="1:6" x14ac:dyDescent="0.35">
      <c r="A89" t="s">
        <v>50</v>
      </c>
      <c r="B89" t="s">
        <v>51</v>
      </c>
      <c r="C89" t="s">
        <v>52</v>
      </c>
      <c r="D89" t="s">
        <v>89</v>
      </c>
      <c r="E89" t="s">
        <v>72</v>
      </c>
      <c r="F89" t="s">
        <v>73</v>
      </c>
    </row>
    <row r="90" spans="1:6" x14ac:dyDescent="0.35">
      <c r="A90" t="s">
        <v>50</v>
      </c>
      <c r="B90" t="s">
        <v>51</v>
      </c>
      <c r="C90" t="s">
        <v>52</v>
      </c>
      <c r="D90" t="s">
        <v>63</v>
      </c>
    </row>
    <row r="91" spans="1:6" x14ac:dyDescent="0.35">
      <c r="A91" t="s">
        <v>56</v>
      </c>
      <c r="B91" t="s">
        <v>57</v>
      </c>
    </row>
    <row r="92" spans="1:6" x14ac:dyDescent="0.35">
      <c r="A92" t="s">
        <v>50</v>
      </c>
      <c r="B92" t="s">
        <v>51</v>
      </c>
      <c r="C92" t="s">
        <v>52</v>
      </c>
      <c r="D92" t="s">
        <v>63</v>
      </c>
    </row>
    <row r="93" spans="1:6" x14ac:dyDescent="0.35">
      <c r="A93" t="s">
        <v>56</v>
      </c>
      <c r="B93" t="s">
        <v>57</v>
      </c>
    </row>
    <row r="94" spans="1:6" x14ac:dyDescent="0.35">
      <c r="A94" t="s">
        <v>5</v>
      </c>
    </row>
    <row r="95" spans="1:6" x14ac:dyDescent="0.35">
      <c r="A95" t="s">
        <v>50</v>
      </c>
      <c r="B95" t="s">
        <v>51</v>
      </c>
      <c r="C95" t="s">
        <v>52</v>
      </c>
      <c r="D95" t="s">
        <v>63</v>
      </c>
    </row>
    <row r="96" spans="1:6" x14ac:dyDescent="0.35">
      <c r="A96" t="s">
        <v>5</v>
      </c>
    </row>
    <row r="97" spans="1:6" x14ac:dyDescent="0.35">
      <c r="A97" t="s">
        <v>56</v>
      </c>
      <c r="B97" t="s">
        <v>57</v>
      </c>
    </row>
    <row r="98" spans="1:6" x14ac:dyDescent="0.35">
      <c r="A98" t="s">
        <v>50</v>
      </c>
      <c r="B98" t="s">
        <v>51</v>
      </c>
      <c r="C98" t="s">
        <v>52</v>
      </c>
    </row>
    <row r="99" spans="1:6" x14ac:dyDescent="0.35">
      <c r="A99" t="s">
        <v>50</v>
      </c>
      <c r="B99" t="s">
        <v>51</v>
      </c>
      <c r="C99" t="s">
        <v>52</v>
      </c>
      <c r="D99" t="s">
        <v>72</v>
      </c>
      <c r="E99" t="s">
        <v>73</v>
      </c>
    </row>
    <row r="100" spans="1:6" x14ac:dyDescent="0.35">
      <c r="A100" t="s">
        <v>7</v>
      </c>
    </row>
    <row r="101" spans="1:6" x14ac:dyDescent="0.35">
      <c r="A101" t="s">
        <v>50</v>
      </c>
      <c r="B101" t="s">
        <v>51</v>
      </c>
      <c r="C101" t="s">
        <v>52</v>
      </c>
      <c r="D101" t="s">
        <v>74</v>
      </c>
      <c r="E101" t="s">
        <v>75</v>
      </c>
    </row>
    <row r="102" spans="1:6" x14ac:dyDescent="0.35">
      <c r="A102" t="s">
        <v>50</v>
      </c>
      <c r="B102" t="s">
        <v>51</v>
      </c>
      <c r="C102" t="s">
        <v>52</v>
      </c>
      <c r="D102" t="s">
        <v>90</v>
      </c>
    </row>
    <row r="103" spans="1:6" x14ac:dyDescent="0.35">
      <c r="A103" t="s">
        <v>50</v>
      </c>
      <c r="B103" t="s">
        <v>51</v>
      </c>
      <c r="C103" t="s">
        <v>52</v>
      </c>
    </row>
    <row r="104" spans="1:6" x14ac:dyDescent="0.35">
      <c r="A104" t="s">
        <v>50</v>
      </c>
      <c r="B104" t="s">
        <v>51</v>
      </c>
      <c r="C104" t="s">
        <v>52</v>
      </c>
      <c r="D104" t="s">
        <v>72</v>
      </c>
      <c r="E104" t="s">
        <v>73</v>
      </c>
    </row>
    <row r="105" spans="1:6" x14ac:dyDescent="0.35">
      <c r="A105" t="s">
        <v>50</v>
      </c>
      <c r="B105" t="s">
        <v>51</v>
      </c>
      <c r="C105" t="s">
        <v>52</v>
      </c>
    </row>
    <row r="106" spans="1:6" x14ac:dyDescent="0.35">
      <c r="A106" t="s">
        <v>50</v>
      </c>
      <c r="B106" t="s">
        <v>51</v>
      </c>
      <c r="C106" t="s">
        <v>52</v>
      </c>
      <c r="D106" t="s">
        <v>63</v>
      </c>
    </row>
    <row r="107" spans="1:6" x14ac:dyDescent="0.35">
      <c r="A107" t="s">
        <v>50</v>
      </c>
      <c r="B107" t="s">
        <v>51</v>
      </c>
      <c r="C107" t="s">
        <v>52</v>
      </c>
      <c r="D107" t="s">
        <v>77</v>
      </c>
      <c r="E107" t="s">
        <v>78</v>
      </c>
    </row>
    <row r="108" spans="1:6" x14ac:dyDescent="0.35">
      <c r="A108" t="s">
        <v>64</v>
      </c>
      <c r="B108" t="s">
        <v>65</v>
      </c>
      <c r="C108" t="s">
        <v>91</v>
      </c>
      <c r="D108" t="s">
        <v>18</v>
      </c>
    </row>
    <row r="109" spans="1:6" x14ac:dyDescent="0.35">
      <c r="A109" t="s">
        <v>50</v>
      </c>
      <c r="B109" t="s">
        <v>70</v>
      </c>
      <c r="C109" t="s">
        <v>51</v>
      </c>
      <c r="D109" t="s">
        <v>52</v>
      </c>
      <c r="E109" t="s">
        <v>63</v>
      </c>
      <c r="F109" t="s">
        <v>71</v>
      </c>
    </row>
    <row r="110" spans="1:6" x14ac:dyDescent="0.35">
      <c r="A110" t="s">
        <v>64</v>
      </c>
      <c r="B110" t="s">
        <v>18</v>
      </c>
    </row>
    <row r="111" spans="1:6" x14ac:dyDescent="0.35">
      <c r="A111" t="s">
        <v>50</v>
      </c>
      <c r="B111" t="s">
        <v>51</v>
      </c>
      <c r="C111" t="s">
        <v>52</v>
      </c>
    </row>
    <row r="112" spans="1:6" x14ac:dyDescent="0.35">
      <c r="A112" t="s">
        <v>50</v>
      </c>
      <c r="B112" t="s">
        <v>51</v>
      </c>
      <c r="C112" t="s">
        <v>52</v>
      </c>
      <c r="D112" t="s">
        <v>63</v>
      </c>
    </row>
    <row r="113" spans="1:7" x14ac:dyDescent="0.35">
      <c r="A113" t="s">
        <v>50</v>
      </c>
      <c r="B113" t="s">
        <v>51</v>
      </c>
      <c r="C113" t="s">
        <v>52</v>
      </c>
      <c r="D113" t="s">
        <v>63</v>
      </c>
    </row>
    <row r="114" spans="1:7" x14ac:dyDescent="0.35">
      <c r="A114" t="s">
        <v>5</v>
      </c>
    </row>
    <row r="115" spans="1:7" x14ac:dyDescent="0.35">
      <c r="A115" t="s">
        <v>50</v>
      </c>
      <c r="B115" t="s">
        <v>51</v>
      </c>
      <c r="C115" t="s">
        <v>52</v>
      </c>
      <c r="D115" t="s">
        <v>92</v>
      </c>
    </row>
    <row r="116" spans="1:7" x14ac:dyDescent="0.35">
      <c r="A116" t="s">
        <v>50</v>
      </c>
      <c r="B116" t="s">
        <v>51</v>
      </c>
      <c r="C116" t="s">
        <v>52</v>
      </c>
      <c r="D116" t="s">
        <v>60</v>
      </c>
      <c r="E116" t="s">
        <v>61</v>
      </c>
    </row>
    <row r="117" spans="1:7" x14ac:dyDescent="0.35">
      <c r="A117" t="s">
        <v>81</v>
      </c>
      <c r="B117" t="s">
        <v>11</v>
      </c>
    </row>
    <row r="118" spans="1:7" x14ac:dyDescent="0.35">
      <c r="A118" t="s">
        <v>93</v>
      </c>
      <c r="B118" t="s">
        <v>50</v>
      </c>
      <c r="C118" t="s">
        <v>51</v>
      </c>
      <c r="D118" t="s">
        <v>52</v>
      </c>
      <c r="E118" t="s">
        <v>94</v>
      </c>
      <c r="F118" t="s">
        <v>77</v>
      </c>
      <c r="G118" t="s">
        <v>95</v>
      </c>
    </row>
    <row r="119" spans="1:7" x14ac:dyDescent="0.35">
      <c r="A119" t="s">
        <v>93</v>
      </c>
      <c r="B119" t="s">
        <v>50</v>
      </c>
      <c r="C119" t="s">
        <v>51</v>
      </c>
      <c r="D119" t="s">
        <v>52</v>
      </c>
      <c r="E119" t="s">
        <v>94</v>
      </c>
      <c r="F119" t="s">
        <v>77</v>
      </c>
      <c r="G119" t="s">
        <v>95</v>
      </c>
    </row>
    <row r="120" spans="1:7" x14ac:dyDescent="0.35">
      <c r="A120" t="s">
        <v>2</v>
      </c>
    </row>
    <row r="121" spans="1:7" x14ac:dyDescent="0.35">
      <c r="A121" t="s">
        <v>1</v>
      </c>
    </row>
    <row r="122" spans="1:7" x14ac:dyDescent="0.35">
      <c r="A122" t="s">
        <v>2</v>
      </c>
    </row>
    <row r="123" spans="1:7" x14ac:dyDescent="0.35">
      <c r="A123" t="s">
        <v>3</v>
      </c>
    </row>
    <row r="124" spans="1:7" x14ac:dyDescent="0.35">
      <c r="A124" t="s">
        <v>2</v>
      </c>
    </row>
    <row r="125" spans="1:7" x14ac:dyDescent="0.35">
      <c r="A125" t="s">
        <v>56</v>
      </c>
      <c r="B125" t="s">
        <v>57</v>
      </c>
      <c r="C125" t="s">
        <v>58</v>
      </c>
    </row>
    <row r="126" spans="1:7" x14ac:dyDescent="0.35">
      <c r="A126" t="s">
        <v>4</v>
      </c>
    </row>
    <row r="127" spans="1:7" x14ac:dyDescent="0.35">
      <c r="A127" t="s">
        <v>50</v>
      </c>
      <c r="B127" t="s">
        <v>51</v>
      </c>
      <c r="C127" t="s">
        <v>52</v>
      </c>
      <c r="D127" t="s">
        <v>63</v>
      </c>
    </row>
    <row r="128" spans="1:7" x14ac:dyDescent="0.35">
      <c r="A128" t="s">
        <v>8</v>
      </c>
    </row>
    <row r="129" spans="1:7" x14ac:dyDescent="0.35">
      <c r="A129" t="s">
        <v>93</v>
      </c>
      <c r="B129" t="s">
        <v>50</v>
      </c>
      <c r="C129" t="s">
        <v>51</v>
      </c>
      <c r="D129" t="s">
        <v>52</v>
      </c>
      <c r="E129" t="s">
        <v>94</v>
      </c>
      <c r="F129" t="s">
        <v>77</v>
      </c>
      <c r="G129" t="s">
        <v>95</v>
      </c>
    </row>
    <row r="130" spans="1:7" x14ac:dyDescent="0.35">
      <c r="A130" t="s">
        <v>8</v>
      </c>
    </row>
    <row r="131" spans="1:7" x14ac:dyDescent="0.35">
      <c r="A131" t="s">
        <v>50</v>
      </c>
      <c r="B131" t="s">
        <v>51</v>
      </c>
      <c r="C131" t="s">
        <v>52</v>
      </c>
      <c r="D131" t="s">
        <v>63</v>
      </c>
    </row>
    <row r="132" spans="1:7" x14ac:dyDescent="0.35">
      <c r="A132" t="s">
        <v>96</v>
      </c>
      <c r="B132" t="s">
        <v>18</v>
      </c>
    </row>
    <row r="133" spans="1:7" x14ac:dyDescent="0.35">
      <c r="A133" t="s">
        <v>1</v>
      </c>
    </row>
    <row r="134" spans="1:7" x14ac:dyDescent="0.35">
      <c r="A134" t="s">
        <v>93</v>
      </c>
      <c r="B134" t="s">
        <v>50</v>
      </c>
      <c r="C134" t="s">
        <v>51</v>
      </c>
      <c r="D134" t="s">
        <v>52</v>
      </c>
      <c r="E134" t="s">
        <v>94</v>
      </c>
      <c r="F134" t="s">
        <v>77</v>
      </c>
      <c r="G134" t="s">
        <v>95</v>
      </c>
    </row>
    <row r="135" spans="1:7" x14ac:dyDescent="0.35">
      <c r="A135" t="s">
        <v>50</v>
      </c>
      <c r="B135" t="s">
        <v>51</v>
      </c>
      <c r="C135" t="s">
        <v>52</v>
      </c>
      <c r="D135" t="s">
        <v>77</v>
      </c>
      <c r="E135" t="s">
        <v>83</v>
      </c>
      <c r="F135" t="s">
        <v>97</v>
      </c>
      <c r="G135" t="s">
        <v>84</v>
      </c>
    </row>
    <row r="136" spans="1:7" x14ac:dyDescent="0.35">
      <c r="A136" t="s">
        <v>50</v>
      </c>
      <c r="B136" t="s">
        <v>51</v>
      </c>
      <c r="C136" t="s">
        <v>52</v>
      </c>
      <c r="D136" t="s">
        <v>63</v>
      </c>
    </row>
    <row r="137" spans="1:7" x14ac:dyDescent="0.35">
      <c r="A137" t="s">
        <v>9</v>
      </c>
    </row>
    <row r="138" spans="1:7" x14ac:dyDescent="0.35">
      <c r="A138" t="s">
        <v>50</v>
      </c>
      <c r="B138" t="s">
        <v>51</v>
      </c>
      <c r="C138" t="s">
        <v>52</v>
      </c>
    </row>
    <row r="139" spans="1:7" x14ac:dyDescent="0.35">
      <c r="A139" t="s">
        <v>50</v>
      </c>
      <c r="B139" t="s">
        <v>51</v>
      </c>
      <c r="C139" t="s">
        <v>52</v>
      </c>
      <c r="D139" t="s">
        <v>80</v>
      </c>
    </row>
    <row r="140" spans="1:7" x14ac:dyDescent="0.35">
      <c r="A140" t="s">
        <v>10</v>
      </c>
    </row>
    <row r="141" spans="1:7" x14ac:dyDescent="0.35">
      <c r="A141" t="s">
        <v>56</v>
      </c>
      <c r="B141" t="s">
        <v>57</v>
      </c>
      <c r="C141" t="s">
        <v>58</v>
      </c>
    </row>
    <row r="142" spans="1:7" x14ac:dyDescent="0.35">
      <c r="A142" t="s">
        <v>50</v>
      </c>
      <c r="B142" t="s">
        <v>51</v>
      </c>
      <c r="C142" t="s">
        <v>52</v>
      </c>
    </row>
    <row r="143" spans="1:7" x14ac:dyDescent="0.35">
      <c r="A143" t="s">
        <v>6</v>
      </c>
    </row>
    <row r="144" spans="1:7" x14ac:dyDescent="0.35">
      <c r="A144" t="s">
        <v>50</v>
      </c>
      <c r="B144" t="s">
        <v>51</v>
      </c>
      <c r="C144" t="s">
        <v>52</v>
      </c>
      <c r="D144" t="s">
        <v>77</v>
      </c>
      <c r="E144" t="s">
        <v>78</v>
      </c>
    </row>
    <row r="145" spans="1:7" x14ac:dyDescent="0.35">
      <c r="A145" t="s">
        <v>50</v>
      </c>
      <c r="B145" t="s">
        <v>51</v>
      </c>
      <c r="C145" t="s">
        <v>52</v>
      </c>
      <c r="D145" t="s">
        <v>74</v>
      </c>
      <c r="E145" t="s">
        <v>75</v>
      </c>
    </row>
    <row r="146" spans="1:7" x14ac:dyDescent="0.35">
      <c r="A146" t="s">
        <v>56</v>
      </c>
      <c r="B146" t="s">
        <v>57</v>
      </c>
    </row>
    <row r="147" spans="1:7" x14ac:dyDescent="0.35">
      <c r="A147" t="s">
        <v>2</v>
      </c>
    </row>
    <row r="148" spans="1:7" x14ac:dyDescent="0.35">
      <c r="A148" t="s">
        <v>50</v>
      </c>
      <c r="B148" t="s">
        <v>51</v>
      </c>
      <c r="C148" t="s">
        <v>52</v>
      </c>
      <c r="D148" t="s">
        <v>63</v>
      </c>
    </row>
    <row r="149" spans="1:7" x14ac:dyDescent="0.35">
      <c r="A149" t="s">
        <v>50</v>
      </c>
      <c r="B149" t="s">
        <v>51</v>
      </c>
      <c r="C149" t="s">
        <v>52</v>
      </c>
    </row>
    <row r="150" spans="1:7" x14ac:dyDescent="0.35">
      <c r="A150" t="s">
        <v>93</v>
      </c>
      <c r="B150" t="s">
        <v>50</v>
      </c>
      <c r="C150" t="s">
        <v>51</v>
      </c>
      <c r="D150" t="s">
        <v>52</v>
      </c>
      <c r="E150" t="s">
        <v>94</v>
      </c>
      <c r="F150" t="s">
        <v>77</v>
      </c>
      <c r="G150" t="s">
        <v>95</v>
      </c>
    </row>
    <row r="151" spans="1:7" x14ac:dyDescent="0.35">
      <c r="A151" t="s">
        <v>50</v>
      </c>
      <c r="B151" t="s">
        <v>51</v>
      </c>
      <c r="C151" t="s">
        <v>52</v>
      </c>
      <c r="D151" t="s">
        <v>92</v>
      </c>
    </row>
    <row r="152" spans="1:7" x14ac:dyDescent="0.35">
      <c r="A152" t="s">
        <v>50</v>
      </c>
      <c r="B152" t="s">
        <v>51</v>
      </c>
      <c r="C152" t="s">
        <v>52</v>
      </c>
      <c r="D152" t="s">
        <v>98</v>
      </c>
    </row>
    <row r="153" spans="1:7" x14ac:dyDescent="0.35">
      <c r="A153" t="s">
        <v>50</v>
      </c>
      <c r="B153" t="s">
        <v>51</v>
      </c>
      <c r="C153" t="s">
        <v>52</v>
      </c>
      <c r="D153" t="s">
        <v>63</v>
      </c>
    </row>
    <row r="154" spans="1:7" x14ac:dyDescent="0.35">
      <c r="A154" t="s">
        <v>56</v>
      </c>
      <c r="B154" t="s">
        <v>57</v>
      </c>
      <c r="C154" t="s">
        <v>99</v>
      </c>
    </row>
    <row r="155" spans="1:7" x14ac:dyDescent="0.35">
      <c r="A155" t="s">
        <v>2</v>
      </c>
    </row>
    <row r="156" spans="1:7" x14ac:dyDescent="0.35">
      <c r="A156" t="s">
        <v>50</v>
      </c>
      <c r="B156" t="s">
        <v>51</v>
      </c>
      <c r="C156" t="s">
        <v>52</v>
      </c>
    </row>
    <row r="157" spans="1:7" x14ac:dyDescent="0.35">
      <c r="A157" t="s">
        <v>2</v>
      </c>
    </row>
    <row r="158" spans="1:7" x14ac:dyDescent="0.35">
      <c r="A158" t="s">
        <v>50</v>
      </c>
      <c r="B158" t="s">
        <v>51</v>
      </c>
      <c r="C158" t="s">
        <v>82</v>
      </c>
      <c r="D158" t="s">
        <v>52</v>
      </c>
      <c r="E158" t="s">
        <v>77</v>
      </c>
      <c r="F158" t="s">
        <v>83</v>
      </c>
      <c r="G158" t="s">
        <v>84</v>
      </c>
    </row>
    <row r="159" spans="1:7" x14ac:dyDescent="0.35">
      <c r="A159" t="s">
        <v>50</v>
      </c>
      <c r="B159" t="s">
        <v>51</v>
      </c>
      <c r="C159" t="s">
        <v>52</v>
      </c>
      <c r="D159" t="s">
        <v>61</v>
      </c>
    </row>
    <row r="160" spans="1:7" x14ac:dyDescent="0.35">
      <c r="A160" t="s">
        <v>50</v>
      </c>
      <c r="B160" t="s">
        <v>51</v>
      </c>
      <c r="C160" t="s">
        <v>52</v>
      </c>
      <c r="D160" t="s">
        <v>80</v>
      </c>
    </row>
    <row r="161" spans="1:7" x14ac:dyDescent="0.35">
      <c r="A161" t="s">
        <v>50</v>
      </c>
      <c r="B161" t="s">
        <v>51</v>
      </c>
      <c r="C161" t="s">
        <v>52</v>
      </c>
      <c r="D161" t="s">
        <v>72</v>
      </c>
      <c r="E161" t="s">
        <v>73</v>
      </c>
    </row>
    <row r="162" spans="1:7" x14ac:dyDescent="0.35">
      <c r="A162" t="s">
        <v>100</v>
      </c>
      <c r="B162" t="s">
        <v>101</v>
      </c>
      <c r="C162" t="s">
        <v>102</v>
      </c>
    </row>
    <row r="163" spans="1:7" x14ac:dyDescent="0.35">
      <c r="A163" t="s">
        <v>50</v>
      </c>
      <c r="B163" t="s">
        <v>51</v>
      </c>
      <c r="C163" t="s">
        <v>52</v>
      </c>
      <c r="D163" t="s">
        <v>60</v>
      </c>
      <c r="E163" t="s">
        <v>61</v>
      </c>
    </row>
    <row r="164" spans="1:7" x14ac:dyDescent="0.35">
      <c r="A164" t="s">
        <v>50</v>
      </c>
      <c r="B164" t="s">
        <v>51</v>
      </c>
      <c r="C164" t="s">
        <v>52</v>
      </c>
      <c r="D164" t="s">
        <v>63</v>
      </c>
    </row>
    <row r="165" spans="1:7" x14ac:dyDescent="0.35">
      <c r="A165" t="s">
        <v>50</v>
      </c>
      <c r="B165" t="s">
        <v>51</v>
      </c>
      <c r="C165" t="s">
        <v>52</v>
      </c>
      <c r="D165" t="s">
        <v>77</v>
      </c>
      <c r="E165" t="s">
        <v>78</v>
      </c>
    </row>
    <row r="166" spans="1:7" x14ac:dyDescent="0.35">
      <c r="A166" t="s">
        <v>93</v>
      </c>
      <c r="B166" t="s">
        <v>50</v>
      </c>
      <c r="C166" t="s">
        <v>51</v>
      </c>
      <c r="D166" t="s">
        <v>52</v>
      </c>
      <c r="E166" t="s">
        <v>94</v>
      </c>
      <c r="F166" t="s">
        <v>77</v>
      </c>
      <c r="G166" t="s">
        <v>95</v>
      </c>
    </row>
    <row r="167" spans="1:7" x14ac:dyDescent="0.35">
      <c r="A167" t="s">
        <v>50</v>
      </c>
      <c r="B167" t="s">
        <v>51</v>
      </c>
      <c r="C167" t="s">
        <v>52</v>
      </c>
      <c r="D167" t="s">
        <v>77</v>
      </c>
      <c r="E167" t="s">
        <v>78</v>
      </c>
    </row>
    <row r="168" spans="1:7" x14ac:dyDescent="0.35">
      <c r="A168" t="s">
        <v>64</v>
      </c>
      <c r="B168" t="s">
        <v>65</v>
      </c>
      <c r="C168" t="s">
        <v>18</v>
      </c>
    </row>
    <row r="169" spans="1:7" x14ac:dyDescent="0.35">
      <c r="A169" t="s">
        <v>50</v>
      </c>
      <c r="B169" t="s">
        <v>51</v>
      </c>
      <c r="C169" t="s">
        <v>52</v>
      </c>
      <c r="D169" t="s">
        <v>63</v>
      </c>
    </row>
    <row r="170" spans="1:7" x14ac:dyDescent="0.35">
      <c r="A170" t="s">
        <v>50</v>
      </c>
      <c r="B170" t="s">
        <v>51</v>
      </c>
      <c r="C170" t="s">
        <v>52</v>
      </c>
    </row>
    <row r="171" spans="1:7" x14ac:dyDescent="0.35">
      <c r="A171" t="s">
        <v>93</v>
      </c>
      <c r="B171" t="s">
        <v>50</v>
      </c>
      <c r="C171" t="s">
        <v>51</v>
      </c>
      <c r="D171" t="s">
        <v>52</v>
      </c>
      <c r="E171" t="s">
        <v>94</v>
      </c>
      <c r="F171" t="s">
        <v>77</v>
      </c>
      <c r="G171" t="s">
        <v>95</v>
      </c>
    </row>
    <row r="172" spans="1:7" x14ac:dyDescent="0.35">
      <c r="A172" t="s">
        <v>50</v>
      </c>
      <c r="B172" t="s">
        <v>51</v>
      </c>
      <c r="C172" t="s">
        <v>82</v>
      </c>
      <c r="D172" t="s">
        <v>52</v>
      </c>
      <c r="E172" t="s">
        <v>77</v>
      </c>
      <c r="F172" t="s">
        <v>83</v>
      </c>
      <c r="G172" t="s">
        <v>84</v>
      </c>
    </row>
    <row r="173" spans="1:7" x14ac:dyDescent="0.35">
      <c r="A173" t="s">
        <v>50</v>
      </c>
      <c r="B173" t="s">
        <v>51</v>
      </c>
      <c r="C173" t="s">
        <v>52</v>
      </c>
    </row>
    <row r="174" spans="1:7" x14ac:dyDescent="0.35">
      <c r="A174" t="s">
        <v>50</v>
      </c>
      <c r="B174" t="s">
        <v>51</v>
      </c>
      <c r="C174" t="s">
        <v>52</v>
      </c>
    </row>
    <row r="175" spans="1:7" x14ac:dyDescent="0.35">
      <c r="A175" t="s">
        <v>50</v>
      </c>
      <c r="B175" t="s">
        <v>51</v>
      </c>
      <c r="C175" t="s">
        <v>52</v>
      </c>
    </row>
    <row r="176" spans="1:7" x14ac:dyDescent="0.35">
      <c r="A176" t="s">
        <v>50</v>
      </c>
      <c r="B176" t="s">
        <v>51</v>
      </c>
      <c r="C176" t="s">
        <v>52</v>
      </c>
      <c r="D176" t="s">
        <v>60</v>
      </c>
      <c r="E176" t="s">
        <v>103</v>
      </c>
      <c r="F176" t="s">
        <v>61</v>
      </c>
    </row>
    <row r="177" spans="1:5" x14ac:dyDescent="0.35">
      <c r="A177" t="s">
        <v>50</v>
      </c>
      <c r="B177" t="s">
        <v>51</v>
      </c>
      <c r="C177" t="s">
        <v>52</v>
      </c>
    </row>
    <row r="178" spans="1:5" x14ac:dyDescent="0.35">
      <c r="A178" t="s">
        <v>50</v>
      </c>
      <c r="B178" t="s">
        <v>51</v>
      </c>
      <c r="C178" t="s">
        <v>52</v>
      </c>
      <c r="D178" t="s">
        <v>60</v>
      </c>
      <c r="E178" t="s">
        <v>61</v>
      </c>
    </row>
    <row r="179" spans="1:5" x14ac:dyDescent="0.35">
      <c r="A179" t="s">
        <v>3</v>
      </c>
    </row>
    <row r="180" spans="1:5" x14ac:dyDescent="0.35">
      <c r="A180" t="s">
        <v>50</v>
      </c>
      <c r="B180" t="s">
        <v>51</v>
      </c>
      <c r="C180" t="s">
        <v>52</v>
      </c>
      <c r="D180" t="s">
        <v>63</v>
      </c>
    </row>
    <row r="181" spans="1:5" x14ac:dyDescent="0.35">
      <c r="A181" t="s">
        <v>56</v>
      </c>
      <c r="B181" t="s">
        <v>57</v>
      </c>
    </row>
    <row r="182" spans="1:5" x14ac:dyDescent="0.35">
      <c r="A182" t="s">
        <v>50</v>
      </c>
      <c r="B182" t="s">
        <v>51</v>
      </c>
      <c r="C182" t="s">
        <v>52</v>
      </c>
    </row>
    <row r="183" spans="1:5" x14ac:dyDescent="0.35">
      <c r="A183" t="s">
        <v>64</v>
      </c>
      <c r="B183" t="s">
        <v>18</v>
      </c>
    </row>
    <row r="184" spans="1:5" x14ac:dyDescent="0.35">
      <c r="A184" t="s">
        <v>50</v>
      </c>
      <c r="B184" t="s">
        <v>51</v>
      </c>
      <c r="C184" t="s">
        <v>52</v>
      </c>
      <c r="D184" t="s">
        <v>53</v>
      </c>
      <c r="E184" t="s">
        <v>54</v>
      </c>
    </row>
    <row r="185" spans="1:5" x14ac:dyDescent="0.35">
      <c r="A185" t="s">
        <v>50</v>
      </c>
      <c r="B185" t="s">
        <v>51</v>
      </c>
      <c r="C185" t="s">
        <v>52</v>
      </c>
      <c r="D185" t="s">
        <v>63</v>
      </c>
    </row>
    <row r="186" spans="1:5" x14ac:dyDescent="0.35">
      <c r="A186" t="s">
        <v>56</v>
      </c>
      <c r="B186" t="s">
        <v>57</v>
      </c>
      <c r="C186" t="s">
        <v>58</v>
      </c>
    </row>
    <row r="187" spans="1:5" x14ac:dyDescent="0.35">
      <c r="A187" t="s">
        <v>11</v>
      </c>
    </row>
    <row r="188" spans="1:5" x14ac:dyDescent="0.35">
      <c r="A188" t="s">
        <v>12</v>
      </c>
    </row>
    <row r="189" spans="1:5" x14ac:dyDescent="0.35">
      <c r="A189" t="s">
        <v>50</v>
      </c>
      <c r="B189" t="s">
        <v>51</v>
      </c>
      <c r="C189" t="s">
        <v>52</v>
      </c>
      <c r="D189" t="s">
        <v>63</v>
      </c>
    </row>
    <row r="190" spans="1:5" x14ac:dyDescent="0.35">
      <c r="A190" t="s">
        <v>50</v>
      </c>
      <c r="B190" t="s">
        <v>51</v>
      </c>
      <c r="C190" t="s">
        <v>52</v>
      </c>
      <c r="D190" t="s">
        <v>61</v>
      </c>
    </row>
    <row r="191" spans="1:5" x14ac:dyDescent="0.35">
      <c r="A191" t="s">
        <v>56</v>
      </c>
      <c r="B191" t="s">
        <v>57</v>
      </c>
      <c r="C191" t="s">
        <v>104</v>
      </c>
    </row>
    <row r="192" spans="1:5" x14ac:dyDescent="0.35">
      <c r="A192" t="s">
        <v>10</v>
      </c>
    </row>
    <row r="193" spans="1:7" x14ac:dyDescent="0.35">
      <c r="A193" t="s">
        <v>50</v>
      </c>
      <c r="B193" t="s">
        <v>51</v>
      </c>
      <c r="C193" t="s">
        <v>82</v>
      </c>
      <c r="D193" t="s">
        <v>52</v>
      </c>
      <c r="E193" t="s">
        <v>77</v>
      </c>
      <c r="F193" t="s">
        <v>83</v>
      </c>
      <c r="G193" t="s">
        <v>84</v>
      </c>
    </row>
    <row r="194" spans="1:7" x14ac:dyDescent="0.35">
      <c r="A194" t="s">
        <v>105</v>
      </c>
      <c r="B194" t="s">
        <v>14</v>
      </c>
    </row>
    <row r="195" spans="1:7" x14ac:dyDescent="0.35">
      <c r="A195" t="s">
        <v>50</v>
      </c>
      <c r="B195" t="s">
        <v>51</v>
      </c>
      <c r="C195" t="s">
        <v>52</v>
      </c>
      <c r="D195" t="s">
        <v>63</v>
      </c>
    </row>
    <row r="196" spans="1:7" x14ac:dyDescent="0.35">
      <c r="A196" t="s">
        <v>81</v>
      </c>
      <c r="B196" t="s">
        <v>11</v>
      </c>
    </row>
    <row r="197" spans="1:7" x14ac:dyDescent="0.35">
      <c r="A197" t="s">
        <v>50</v>
      </c>
      <c r="B197" t="s">
        <v>51</v>
      </c>
      <c r="C197" t="s">
        <v>52</v>
      </c>
      <c r="D197" t="s">
        <v>63</v>
      </c>
    </row>
    <row r="198" spans="1:7" x14ac:dyDescent="0.35">
      <c r="A198" t="s">
        <v>96</v>
      </c>
      <c r="B198" t="s">
        <v>18</v>
      </c>
    </row>
    <row r="199" spans="1:7" x14ac:dyDescent="0.35">
      <c r="A199" t="s">
        <v>2</v>
      </c>
    </row>
    <row r="200" spans="1:7" x14ac:dyDescent="0.35">
      <c r="A200" t="s">
        <v>50</v>
      </c>
      <c r="B200" t="s">
        <v>51</v>
      </c>
      <c r="C200" t="s">
        <v>52</v>
      </c>
      <c r="D200" t="s">
        <v>53</v>
      </c>
      <c r="E200" t="s">
        <v>54</v>
      </c>
    </row>
    <row r="201" spans="1:7" x14ac:dyDescent="0.35">
      <c r="A201" t="s">
        <v>50</v>
      </c>
      <c r="B201" t="s">
        <v>51</v>
      </c>
      <c r="C201" t="s">
        <v>52</v>
      </c>
      <c r="D201" t="s">
        <v>72</v>
      </c>
      <c r="E201" t="s">
        <v>73</v>
      </c>
    </row>
    <row r="202" spans="1:7" x14ac:dyDescent="0.35">
      <c r="A202" t="s">
        <v>50</v>
      </c>
      <c r="B202" t="s">
        <v>51</v>
      </c>
      <c r="C202" t="s">
        <v>52</v>
      </c>
      <c r="D202" t="s">
        <v>63</v>
      </c>
    </row>
    <row r="203" spans="1:7" x14ac:dyDescent="0.35">
      <c r="A203" t="s">
        <v>4</v>
      </c>
    </row>
    <row r="204" spans="1:7" x14ac:dyDescent="0.35">
      <c r="A204" t="s">
        <v>66</v>
      </c>
      <c r="B204" t="s">
        <v>67</v>
      </c>
      <c r="C204" t="s">
        <v>68</v>
      </c>
    </row>
    <row r="205" spans="1:7" x14ac:dyDescent="0.35">
      <c r="A205" t="s">
        <v>7</v>
      </c>
    </row>
    <row r="206" spans="1:7" x14ac:dyDescent="0.35">
      <c r="A206" t="s">
        <v>50</v>
      </c>
      <c r="B206" t="s">
        <v>51</v>
      </c>
      <c r="C206" t="s">
        <v>52</v>
      </c>
    </row>
    <row r="207" spans="1:7" x14ac:dyDescent="0.35">
      <c r="A207" t="s">
        <v>4</v>
      </c>
    </row>
    <row r="208" spans="1:7" x14ac:dyDescent="0.35">
      <c r="A208" t="s">
        <v>93</v>
      </c>
      <c r="B208" t="s">
        <v>50</v>
      </c>
      <c r="C208" t="s">
        <v>51</v>
      </c>
      <c r="D208" t="s">
        <v>52</v>
      </c>
      <c r="E208" t="s">
        <v>94</v>
      </c>
      <c r="F208" t="s">
        <v>77</v>
      </c>
      <c r="G208" t="s">
        <v>95</v>
      </c>
    </row>
    <row r="209" spans="1:6" x14ac:dyDescent="0.35">
      <c r="A209" t="s">
        <v>50</v>
      </c>
      <c r="B209" t="s">
        <v>70</v>
      </c>
      <c r="C209" t="s">
        <v>51</v>
      </c>
      <c r="D209" t="s">
        <v>52</v>
      </c>
      <c r="E209" t="s">
        <v>63</v>
      </c>
      <c r="F209" t="s">
        <v>71</v>
      </c>
    </row>
    <row r="210" spans="1:6" x14ac:dyDescent="0.35">
      <c r="A210" t="s">
        <v>2</v>
      </c>
    </row>
    <row r="211" spans="1:6" x14ac:dyDescent="0.35">
      <c r="A211" t="s">
        <v>96</v>
      </c>
      <c r="B211" t="s">
        <v>18</v>
      </c>
    </row>
    <row r="212" spans="1:6" x14ac:dyDescent="0.35">
      <c r="A212" t="s">
        <v>50</v>
      </c>
      <c r="B212" t="s">
        <v>51</v>
      </c>
      <c r="C212" t="s">
        <v>52</v>
      </c>
      <c r="D212" t="s">
        <v>77</v>
      </c>
      <c r="E212" t="s">
        <v>78</v>
      </c>
    </row>
    <row r="213" spans="1:6" x14ac:dyDescent="0.35">
      <c r="A213" t="s">
        <v>50</v>
      </c>
      <c r="B213" t="s">
        <v>51</v>
      </c>
      <c r="C213" t="s">
        <v>52</v>
      </c>
      <c r="D213" t="s">
        <v>61</v>
      </c>
    </row>
    <row r="214" spans="1:6" x14ac:dyDescent="0.35">
      <c r="A214" t="s">
        <v>64</v>
      </c>
      <c r="B214" t="s">
        <v>18</v>
      </c>
    </row>
    <row r="215" spans="1:6" x14ac:dyDescent="0.35">
      <c r="A215" t="s">
        <v>1</v>
      </c>
    </row>
    <row r="216" spans="1:6" x14ac:dyDescent="0.35">
      <c r="A216" t="s">
        <v>1</v>
      </c>
    </row>
    <row r="217" spans="1:6" x14ac:dyDescent="0.35">
      <c r="A217" t="s">
        <v>2</v>
      </c>
    </row>
    <row r="218" spans="1:6" x14ac:dyDescent="0.35">
      <c r="A218" t="s">
        <v>96</v>
      </c>
      <c r="B218" t="s">
        <v>66</v>
      </c>
      <c r="C218" t="s">
        <v>18</v>
      </c>
      <c r="D218" t="s">
        <v>67</v>
      </c>
      <c r="E218" t="s">
        <v>68</v>
      </c>
    </row>
    <row r="219" spans="1:6" x14ac:dyDescent="0.35">
      <c r="A219" t="s">
        <v>64</v>
      </c>
      <c r="B219" t="s">
        <v>18</v>
      </c>
    </row>
    <row r="220" spans="1:6" x14ac:dyDescent="0.35">
      <c r="A220" t="s">
        <v>50</v>
      </c>
      <c r="B220" t="s">
        <v>51</v>
      </c>
      <c r="C220" t="s">
        <v>52</v>
      </c>
      <c r="D220" t="s">
        <v>74</v>
      </c>
      <c r="E220" t="s">
        <v>75</v>
      </c>
    </row>
    <row r="221" spans="1:6" x14ac:dyDescent="0.35">
      <c r="A221" t="s">
        <v>56</v>
      </c>
      <c r="B221" t="s">
        <v>57</v>
      </c>
    </row>
    <row r="222" spans="1:6" x14ac:dyDescent="0.35">
      <c r="A222" t="s">
        <v>50</v>
      </c>
      <c r="B222" t="s">
        <v>51</v>
      </c>
      <c r="C222" t="s">
        <v>52</v>
      </c>
      <c r="D222" t="s">
        <v>77</v>
      </c>
      <c r="E222" t="s">
        <v>78</v>
      </c>
    </row>
    <row r="223" spans="1:6" x14ac:dyDescent="0.35">
      <c r="A223" t="s">
        <v>96</v>
      </c>
      <c r="B223" t="s">
        <v>18</v>
      </c>
    </row>
    <row r="224" spans="1:6" x14ac:dyDescent="0.35">
      <c r="A224" t="s">
        <v>56</v>
      </c>
      <c r="B224" t="s">
        <v>57</v>
      </c>
    </row>
    <row r="225" spans="1:7" x14ac:dyDescent="0.35">
      <c r="A225" t="s">
        <v>50</v>
      </c>
      <c r="B225" t="s">
        <v>51</v>
      </c>
      <c r="C225" t="s">
        <v>52</v>
      </c>
      <c r="D225" t="s">
        <v>53</v>
      </c>
      <c r="E225" t="s">
        <v>54</v>
      </c>
    </row>
    <row r="226" spans="1:7" x14ac:dyDescent="0.35">
      <c r="A226" t="s">
        <v>50</v>
      </c>
      <c r="B226" t="s">
        <v>51</v>
      </c>
      <c r="C226" t="s">
        <v>52</v>
      </c>
      <c r="D226" t="s">
        <v>72</v>
      </c>
      <c r="E226" t="s">
        <v>73</v>
      </c>
    </row>
    <row r="227" spans="1:7" x14ac:dyDescent="0.35">
      <c r="A227" t="s">
        <v>50</v>
      </c>
      <c r="B227" t="s">
        <v>51</v>
      </c>
      <c r="C227" t="s">
        <v>52</v>
      </c>
    </row>
    <row r="228" spans="1:7" x14ac:dyDescent="0.35">
      <c r="A228" t="s">
        <v>12</v>
      </c>
    </row>
    <row r="229" spans="1:7" x14ac:dyDescent="0.35">
      <c r="A229" t="s">
        <v>50</v>
      </c>
      <c r="B229" t="s">
        <v>51</v>
      </c>
      <c r="C229" t="s">
        <v>82</v>
      </c>
      <c r="D229" t="s">
        <v>52</v>
      </c>
      <c r="E229" t="s">
        <v>77</v>
      </c>
      <c r="F229" t="s">
        <v>83</v>
      </c>
      <c r="G229" t="s">
        <v>84</v>
      </c>
    </row>
    <row r="230" spans="1:7" x14ac:dyDescent="0.35">
      <c r="A230" t="s">
        <v>3</v>
      </c>
    </row>
    <row r="231" spans="1:7" x14ac:dyDescent="0.35">
      <c r="A231" t="s">
        <v>13</v>
      </c>
    </row>
    <row r="232" spans="1:7" x14ac:dyDescent="0.35">
      <c r="A232" t="s">
        <v>5</v>
      </c>
    </row>
    <row r="233" spans="1:7" x14ac:dyDescent="0.35">
      <c r="A233" t="s">
        <v>50</v>
      </c>
      <c r="B233" t="s">
        <v>51</v>
      </c>
      <c r="C233" t="s">
        <v>52</v>
      </c>
      <c r="D233" t="s">
        <v>63</v>
      </c>
    </row>
    <row r="234" spans="1:7" x14ac:dyDescent="0.35">
      <c r="A234" t="s">
        <v>5</v>
      </c>
    </row>
    <row r="235" spans="1:7" x14ac:dyDescent="0.35">
      <c r="A235" t="s">
        <v>93</v>
      </c>
      <c r="B235" t="s">
        <v>50</v>
      </c>
      <c r="C235" t="s">
        <v>51</v>
      </c>
      <c r="D235" t="s">
        <v>52</v>
      </c>
      <c r="E235" t="s">
        <v>94</v>
      </c>
      <c r="F235" t="s">
        <v>77</v>
      </c>
      <c r="G235" t="s">
        <v>95</v>
      </c>
    </row>
    <row r="236" spans="1:7" x14ac:dyDescent="0.35">
      <c r="A236" t="s">
        <v>50</v>
      </c>
      <c r="B236" t="s">
        <v>51</v>
      </c>
      <c r="C236" t="s">
        <v>52</v>
      </c>
      <c r="D236" t="s">
        <v>74</v>
      </c>
      <c r="E236" t="s">
        <v>75</v>
      </c>
    </row>
    <row r="237" spans="1:7" x14ac:dyDescent="0.35">
      <c r="A237" t="s">
        <v>50</v>
      </c>
      <c r="B237" t="s">
        <v>51</v>
      </c>
      <c r="C237" t="s">
        <v>52</v>
      </c>
    </row>
    <row r="238" spans="1:7" x14ac:dyDescent="0.35">
      <c r="A238" t="s">
        <v>11</v>
      </c>
    </row>
    <row r="239" spans="1:7" x14ac:dyDescent="0.35">
      <c r="A239" t="s">
        <v>4</v>
      </c>
    </row>
    <row r="240" spans="1:7" x14ac:dyDescent="0.35">
      <c r="A240" t="s">
        <v>5</v>
      </c>
    </row>
    <row r="241" spans="1:7" x14ac:dyDescent="0.35">
      <c r="A241" t="s">
        <v>56</v>
      </c>
      <c r="B241" t="s">
        <v>57</v>
      </c>
      <c r="C241" t="s">
        <v>104</v>
      </c>
    </row>
    <row r="242" spans="1:7" x14ac:dyDescent="0.35">
      <c r="A242" t="s">
        <v>50</v>
      </c>
      <c r="B242" t="s">
        <v>51</v>
      </c>
      <c r="C242" t="s">
        <v>82</v>
      </c>
      <c r="D242" t="s">
        <v>52</v>
      </c>
      <c r="E242" t="s">
        <v>77</v>
      </c>
      <c r="F242" t="s">
        <v>83</v>
      </c>
      <c r="G242" t="s">
        <v>84</v>
      </c>
    </row>
    <row r="243" spans="1:7" x14ac:dyDescent="0.35">
      <c r="A243" t="s">
        <v>50</v>
      </c>
      <c r="B243" t="s">
        <v>51</v>
      </c>
      <c r="C243" t="s">
        <v>52</v>
      </c>
      <c r="D243" t="s">
        <v>53</v>
      </c>
      <c r="E243" t="s">
        <v>54</v>
      </c>
    </row>
    <row r="244" spans="1:7" x14ac:dyDescent="0.35">
      <c r="A244" t="s">
        <v>50</v>
      </c>
      <c r="B244" t="s">
        <v>51</v>
      </c>
      <c r="C244" t="s">
        <v>52</v>
      </c>
      <c r="D244" t="s">
        <v>77</v>
      </c>
      <c r="E244" t="s">
        <v>78</v>
      </c>
    </row>
    <row r="245" spans="1:7" x14ac:dyDescent="0.35">
      <c r="A245" t="s">
        <v>96</v>
      </c>
      <c r="B245" t="s">
        <v>66</v>
      </c>
      <c r="C245" t="s">
        <v>18</v>
      </c>
      <c r="D245" t="s">
        <v>67</v>
      </c>
      <c r="E245" t="s">
        <v>68</v>
      </c>
    </row>
    <row r="246" spans="1:7" x14ac:dyDescent="0.35">
      <c r="A246" t="s">
        <v>50</v>
      </c>
      <c r="B246" t="s">
        <v>51</v>
      </c>
      <c r="C246" t="s">
        <v>52</v>
      </c>
    </row>
    <row r="247" spans="1:7" x14ac:dyDescent="0.35">
      <c r="A247" t="s">
        <v>50</v>
      </c>
      <c r="B247" t="s">
        <v>51</v>
      </c>
      <c r="C247" t="s">
        <v>82</v>
      </c>
      <c r="D247" t="s">
        <v>52</v>
      </c>
      <c r="E247" t="s">
        <v>77</v>
      </c>
      <c r="F247" t="s">
        <v>83</v>
      </c>
      <c r="G247" t="s">
        <v>84</v>
      </c>
    </row>
    <row r="248" spans="1:7" x14ac:dyDescent="0.35">
      <c r="A248" t="s">
        <v>50</v>
      </c>
      <c r="B248" t="s">
        <v>51</v>
      </c>
      <c r="C248" t="s">
        <v>52</v>
      </c>
      <c r="D248" t="s">
        <v>92</v>
      </c>
    </row>
    <row r="249" spans="1:7" x14ac:dyDescent="0.35">
      <c r="A249" t="s">
        <v>93</v>
      </c>
      <c r="B249" t="s">
        <v>50</v>
      </c>
      <c r="C249" t="s">
        <v>51</v>
      </c>
      <c r="D249" t="s">
        <v>52</v>
      </c>
      <c r="E249" t="s">
        <v>94</v>
      </c>
      <c r="F249" t="s">
        <v>77</v>
      </c>
      <c r="G249" t="s">
        <v>95</v>
      </c>
    </row>
    <row r="250" spans="1:7" x14ac:dyDescent="0.35">
      <c r="A250" t="s">
        <v>50</v>
      </c>
      <c r="B250" t="s">
        <v>51</v>
      </c>
      <c r="C250" t="s">
        <v>52</v>
      </c>
      <c r="D250" t="s">
        <v>63</v>
      </c>
    </row>
    <row r="251" spans="1:7" x14ac:dyDescent="0.35">
      <c r="A251" t="s">
        <v>50</v>
      </c>
      <c r="B251" t="s">
        <v>51</v>
      </c>
      <c r="C251" t="s">
        <v>52</v>
      </c>
      <c r="D251" t="s">
        <v>60</v>
      </c>
      <c r="E251" t="s">
        <v>106</v>
      </c>
      <c r="F251" t="s">
        <v>61</v>
      </c>
    </row>
    <row r="252" spans="1:7" x14ac:dyDescent="0.35">
      <c r="A252" t="s">
        <v>3</v>
      </c>
    </row>
    <row r="253" spans="1:7" x14ac:dyDescent="0.35">
      <c r="A253" t="s">
        <v>50</v>
      </c>
      <c r="B253" t="s">
        <v>51</v>
      </c>
      <c r="C253" t="s">
        <v>52</v>
      </c>
      <c r="D253" t="s">
        <v>77</v>
      </c>
      <c r="E253" t="s">
        <v>78</v>
      </c>
    </row>
    <row r="254" spans="1:7" x14ac:dyDescent="0.35">
      <c r="A254" t="s">
        <v>50</v>
      </c>
      <c r="B254" t="s">
        <v>51</v>
      </c>
      <c r="C254" t="s">
        <v>52</v>
      </c>
      <c r="D254" t="s">
        <v>72</v>
      </c>
      <c r="E254" t="s">
        <v>73</v>
      </c>
    </row>
    <row r="255" spans="1:7" x14ac:dyDescent="0.35">
      <c r="A255" t="s">
        <v>50</v>
      </c>
      <c r="B255" t="s">
        <v>51</v>
      </c>
      <c r="C255" t="s">
        <v>52</v>
      </c>
      <c r="D255" t="s">
        <v>92</v>
      </c>
    </row>
    <row r="256" spans="1:7" x14ac:dyDescent="0.35">
      <c r="A256" t="s">
        <v>81</v>
      </c>
      <c r="B256" t="s">
        <v>11</v>
      </c>
    </row>
    <row r="257" spans="1:5" x14ac:dyDescent="0.35">
      <c r="A257" t="s">
        <v>50</v>
      </c>
      <c r="B257" t="s">
        <v>51</v>
      </c>
      <c r="C257" t="s">
        <v>52</v>
      </c>
      <c r="D257" t="s">
        <v>60</v>
      </c>
      <c r="E257" t="s">
        <v>61</v>
      </c>
    </row>
    <row r="258" spans="1:5" x14ac:dyDescent="0.35">
      <c r="A258" t="s">
        <v>50</v>
      </c>
      <c r="B258" t="s">
        <v>51</v>
      </c>
      <c r="C258" t="s">
        <v>52</v>
      </c>
    </row>
    <row r="259" spans="1:5" x14ac:dyDescent="0.35">
      <c r="A259" t="s">
        <v>50</v>
      </c>
      <c r="B259" t="s">
        <v>51</v>
      </c>
      <c r="C259" t="s">
        <v>52</v>
      </c>
      <c r="D259" t="s">
        <v>63</v>
      </c>
    </row>
    <row r="260" spans="1:5" x14ac:dyDescent="0.35">
      <c r="A260" t="s">
        <v>11</v>
      </c>
      <c r="B260" t="s">
        <v>107</v>
      </c>
    </row>
    <row r="261" spans="1:5" x14ac:dyDescent="0.35">
      <c r="A261" t="s">
        <v>108</v>
      </c>
      <c r="B261" t="s">
        <v>11</v>
      </c>
    </row>
    <row r="262" spans="1:5" x14ac:dyDescent="0.35">
      <c r="A262" t="s">
        <v>81</v>
      </c>
      <c r="B262" t="s">
        <v>11</v>
      </c>
    </row>
    <row r="263" spans="1:5" x14ac:dyDescent="0.35">
      <c r="A263" t="s">
        <v>56</v>
      </c>
      <c r="B263" t="s">
        <v>57</v>
      </c>
    </row>
    <row r="264" spans="1:5" x14ac:dyDescent="0.35">
      <c r="A264" t="s">
        <v>3</v>
      </c>
    </row>
    <row r="265" spans="1:5" x14ac:dyDescent="0.35">
      <c r="A265" t="s">
        <v>109</v>
      </c>
      <c r="B265" t="s">
        <v>110</v>
      </c>
      <c r="C265" t="s">
        <v>111</v>
      </c>
    </row>
    <row r="266" spans="1:5" x14ac:dyDescent="0.35">
      <c r="A266" t="s">
        <v>1</v>
      </c>
    </row>
    <row r="267" spans="1:5" x14ac:dyDescent="0.35">
      <c r="A267" t="s">
        <v>14</v>
      </c>
    </row>
    <row r="268" spans="1:5" x14ac:dyDescent="0.35">
      <c r="A268" t="s">
        <v>56</v>
      </c>
      <c r="B268" t="s">
        <v>57</v>
      </c>
    </row>
    <row r="269" spans="1:5" x14ac:dyDescent="0.35">
      <c r="A269" t="s">
        <v>50</v>
      </c>
      <c r="B269" t="s">
        <v>51</v>
      </c>
      <c r="C269" t="s">
        <v>52</v>
      </c>
      <c r="D269" t="s">
        <v>80</v>
      </c>
    </row>
    <row r="270" spans="1:5" x14ac:dyDescent="0.35">
      <c r="A270" t="s">
        <v>50</v>
      </c>
      <c r="B270" t="s">
        <v>51</v>
      </c>
      <c r="C270" t="s">
        <v>52</v>
      </c>
      <c r="D270" t="s">
        <v>92</v>
      </c>
    </row>
    <row r="271" spans="1:5" x14ac:dyDescent="0.35">
      <c r="A271" t="s">
        <v>7</v>
      </c>
    </row>
    <row r="272" spans="1:5" x14ac:dyDescent="0.35">
      <c r="A272" t="s">
        <v>10</v>
      </c>
    </row>
    <row r="273" spans="1:7" x14ac:dyDescent="0.35">
      <c r="A273" t="s">
        <v>93</v>
      </c>
      <c r="B273" t="s">
        <v>50</v>
      </c>
      <c r="C273" t="s">
        <v>51</v>
      </c>
      <c r="D273" t="s">
        <v>52</v>
      </c>
      <c r="E273" t="s">
        <v>94</v>
      </c>
      <c r="F273" t="s">
        <v>77</v>
      </c>
      <c r="G273" t="s">
        <v>95</v>
      </c>
    </row>
    <row r="274" spans="1:7" x14ac:dyDescent="0.35">
      <c r="A274" t="s">
        <v>50</v>
      </c>
      <c r="B274" t="s">
        <v>51</v>
      </c>
      <c r="C274" t="s">
        <v>52</v>
      </c>
      <c r="D274" t="s">
        <v>112</v>
      </c>
    </row>
    <row r="275" spans="1:7" x14ac:dyDescent="0.35">
      <c r="A275" t="s">
        <v>50</v>
      </c>
      <c r="B275" t="s">
        <v>51</v>
      </c>
      <c r="C275" t="s">
        <v>82</v>
      </c>
      <c r="D275" t="s">
        <v>52</v>
      </c>
      <c r="E275" t="s">
        <v>77</v>
      </c>
      <c r="F275" t="s">
        <v>83</v>
      </c>
      <c r="G275" t="s">
        <v>84</v>
      </c>
    </row>
    <row r="276" spans="1:7" x14ac:dyDescent="0.35">
      <c r="A276" t="s">
        <v>50</v>
      </c>
      <c r="B276" t="s">
        <v>51</v>
      </c>
      <c r="C276" t="s">
        <v>52</v>
      </c>
      <c r="D276" t="s">
        <v>89</v>
      </c>
      <c r="E276" t="s">
        <v>72</v>
      </c>
      <c r="F276" t="s">
        <v>73</v>
      </c>
    </row>
    <row r="277" spans="1:7" x14ac:dyDescent="0.35">
      <c r="A277" t="s">
        <v>56</v>
      </c>
      <c r="B277" t="s">
        <v>57</v>
      </c>
    </row>
    <row r="278" spans="1:7" x14ac:dyDescent="0.35">
      <c r="A278" t="s">
        <v>12</v>
      </c>
    </row>
    <row r="279" spans="1:7" x14ac:dyDescent="0.35">
      <c r="A279" t="s">
        <v>81</v>
      </c>
      <c r="B279" t="s">
        <v>11</v>
      </c>
    </row>
    <row r="280" spans="1:7" x14ac:dyDescent="0.35">
      <c r="A280" t="s">
        <v>50</v>
      </c>
      <c r="B280" t="s">
        <v>51</v>
      </c>
      <c r="C280" t="s">
        <v>52</v>
      </c>
      <c r="D280" t="s">
        <v>72</v>
      </c>
      <c r="E280" t="s">
        <v>73</v>
      </c>
      <c r="F280" t="s">
        <v>113</v>
      </c>
    </row>
    <row r="281" spans="1:7" x14ac:dyDescent="0.35">
      <c r="A281" t="s">
        <v>96</v>
      </c>
      <c r="B281" t="s">
        <v>18</v>
      </c>
    </row>
    <row r="282" spans="1:7" x14ac:dyDescent="0.35">
      <c r="A282" t="s">
        <v>5</v>
      </c>
    </row>
    <row r="283" spans="1:7" x14ac:dyDescent="0.35">
      <c r="A283" t="s">
        <v>93</v>
      </c>
      <c r="B283" t="s">
        <v>50</v>
      </c>
      <c r="C283" t="s">
        <v>51</v>
      </c>
      <c r="D283" t="s">
        <v>52</v>
      </c>
      <c r="E283" t="s">
        <v>94</v>
      </c>
      <c r="F283" t="s">
        <v>77</v>
      </c>
      <c r="G283" t="s">
        <v>95</v>
      </c>
    </row>
    <row r="284" spans="1:7" x14ac:dyDescent="0.35">
      <c r="A284" t="s">
        <v>50</v>
      </c>
      <c r="B284" t="s">
        <v>51</v>
      </c>
      <c r="C284" t="s">
        <v>82</v>
      </c>
      <c r="D284" t="s">
        <v>52</v>
      </c>
      <c r="E284" t="s">
        <v>77</v>
      </c>
      <c r="F284" t="s">
        <v>83</v>
      </c>
      <c r="G284" t="s">
        <v>84</v>
      </c>
    </row>
    <row r="285" spans="1:7" x14ac:dyDescent="0.35">
      <c r="A285" t="s">
        <v>50</v>
      </c>
      <c r="B285" t="s">
        <v>51</v>
      </c>
      <c r="C285" t="s">
        <v>52</v>
      </c>
      <c r="D285" t="s">
        <v>61</v>
      </c>
    </row>
    <row r="286" spans="1:7" x14ac:dyDescent="0.35">
      <c r="A286" t="s">
        <v>50</v>
      </c>
      <c r="B286" t="s">
        <v>51</v>
      </c>
      <c r="C286" t="s">
        <v>52</v>
      </c>
    </row>
    <row r="287" spans="1:7" x14ac:dyDescent="0.35">
      <c r="A287" t="s">
        <v>12</v>
      </c>
    </row>
    <row r="288" spans="1:7" x14ac:dyDescent="0.35">
      <c r="A288" t="s">
        <v>56</v>
      </c>
      <c r="B288" t="s">
        <v>57</v>
      </c>
    </row>
    <row r="289" spans="1:6" x14ac:dyDescent="0.35">
      <c r="A289" t="s">
        <v>11</v>
      </c>
    </row>
    <row r="290" spans="1:6" x14ac:dyDescent="0.35">
      <c r="A290" t="s">
        <v>6</v>
      </c>
    </row>
    <row r="291" spans="1:6" x14ac:dyDescent="0.35">
      <c r="A291" t="s">
        <v>50</v>
      </c>
      <c r="B291" t="s">
        <v>51</v>
      </c>
      <c r="C291" t="s">
        <v>52</v>
      </c>
      <c r="D291" t="s">
        <v>74</v>
      </c>
      <c r="E291" t="s">
        <v>75</v>
      </c>
    </row>
    <row r="292" spans="1:6" x14ac:dyDescent="0.35">
      <c r="A292" t="s">
        <v>15</v>
      </c>
    </row>
    <row r="293" spans="1:6" x14ac:dyDescent="0.35">
      <c r="A293" t="s">
        <v>50</v>
      </c>
      <c r="B293" t="s">
        <v>51</v>
      </c>
      <c r="C293" t="s">
        <v>52</v>
      </c>
      <c r="D293" t="s">
        <v>63</v>
      </c>
    </row>
    <row r="294" spans="1:6" x14ac:dyDescent="0.35">
      <c r="A294" t="s">
        <v>50</v>
      </c>
      <c r="B294" t="s">
        <v>51</v>
      </c>
      <c r="C294" t="s">
        <v>52</v>
      </c>
      <c r="D294" t="s">
        <v>72</v>
      </c>
      <c r="E294" t="s">
        <v>73</v>
      </c>
    </row>
    <row r="295" spans="1:6" x14ac:dyDescent="0.35">
      <c r="A295" t="s">
        <v>64</v>
      </c>
      <c r="B295" t="s">
        <v>65</v>
      </c>
      <c r="C295" t="s">
        <v>66</v>
      </c>
      <c r="D295" t="s">
        <v>18</v>
      </c>
      <c r="E295" t="s">
        <v>67</v>
      </c>
      <c r="F295" t="s">
        <v>68</v>
      </c>
    </row>
    <row r="296" spans="1:6" x14ac:dyDescent="0.35">
      <c r="A296" t="s">
        <v>8</v>
      </c>
    </row>
    <row r="297" spans="1:6" x14ac:dyDescent="0.35">
      <c r="A297" t="s">
        <v>1</v>
      </c>
      <c r="B297" t="s">
        <v>87</v>
      </c>
      <c r="C297" t="s">
        <v>114</v>
      </c>
    </row>
    <row r="298" spans="1:6" x14ac:dyDescent="0.35">
      <c r="A298" t="s">
        <v>50</v>
      </c>
      <c r="B298" t="s">
        <v>51</v>
      </c>
      <c r="C298" t="s">
        <v>52</v>
      </c>
      <c r="D298" t="s">
        <v>60</v>
      </c>
      <c r="E298" t="s">
        <v>103</v>
      </c>
      <c r="F298" t="s">
        <v>61</v>
      </c>
    </row>
    <row r="299" spans="1:6" x14ac:dyDescent="0.35">
      <c r="A299" t="s">
        <v>1</v>
      </c>
    </row>
    <row r="300" spans="1:6" x14ac:dyDescent="0.35">
      <c r="A300" t="s">
        <v>56</v>
      </c>
      <c r="B300" t="s">
        <v>57</v>
      </c>
      <c r="C300" t="s">
        <v>104</v>
      </c>
    </row>
    <row r="301" spans="1:6" x14ac:dyDescent="0.35">
      <c r="A301" t="s">
        <v>50</v>
      </c>
      <c r="B301" t="s">
        <v>51</v>
      </c>
      <c r="C301" t="s">
        <v>52</v>
      </c>
      <c r="D301" t="s">
        <v>72</v>
      </c>
      <c r="E301" t="s">
        <v>73</v>
      </c>
      <c r="F301" t="s">
        <v>113</v>
      </c>
    </row>
    <row r="302" spans="1:6" x14ac:dyDescent="0.35">
      <c r="A302" t="s">
        <v>5</v>
      </c>
    </row>
    <row r="303" spans="1:6" x14ac:dyDescent="0.35">
      <c r="A303" t="s">
        <v>2</v>
      </c>
    </row>
    <row r="304" spans="1:6" x14ac:dyDescent="0.35">
      <c r="A304" t="s">
        <v>3</v>
      </c>
    </row>
    <row r="305" spans="1:4" x14ac:dyDescent="0.35">
      <c r="A305" t="s">
        <v>50</v>
      </c>
      <c r="B305" t="s">
        <v>51</v>
      </c>
      <c r="C305" t="s">
        <v>52</v>
      </c>
      <c r="D305" t="s">
        <v>63</v>
      </c>
    </row>
    <row r="306" spans="1:4" x14ac:dyDescent="0.35">
      <c r="A306" t="s">
        <v>50</v>
      </c>
      <c r="B306" t="s">
        <v>51</v>
      </c>
      <c r="C306" t="s">
        <v>52</v>
      </c>
    </row>
    <row r="307" spans="1:4" x14ac:dyDescent="0.35">
      <c r="A307" t="s">
        <v>50</v>
      </c>
      <c r="B307" t="s">
        <v>51</v>
      </c>
      <c r="C307" t="s">
        <v>52</v>
      </c>
      <c r="D307" t="s">
        <v>63</v>
      </c>
    </row>
    <row r="308" spans="1:4" x14ac:dyDescent="0.35">
      <c r="A308" t="s">
        <v>50</v>
      </c>
      <c r="B308" t="s">
        <v>51</v>
      </c>
      <c r="C308" t="s">
        <v>52</v>
      </c>
      <c r="D308" t="s">
        <v>63</v>
      </c>
    </row>
    <row r="309" spans="1:4" x14ac:dyDescent="0.35">
      <c r="A309" t="s">
        <v>50</v>
      </c>
      <c r="B309" t="s">
        <v>51</v>
      </c>
      <c r="C309" t="s">
        <v>52</v>
      </c>
      <c r="D309" t="s">
        <v>63</v>
      </c>
    </row>
    <row r="310" spans="1:4" x14ac:dyDescent="0.35">
      <c r="A310" t="s">
        <v>5</v>
      </c>
    </row>
    <row r="311" spans="1:4" x14ac:dyDescent="0.35">
      <c r="A311" t="s">
        <v>66</v>
      </c>
      <c r="B311" t="s">
        <v>67</v>
      </c>
      <c r="C311" t="s">
        <v>68</v>
      </c>
    </row>
    <row r="312" spans="1:4" x14ac:dyDescent="0.35">
      <c r="A312" t="s">
        <v>50</v>
      </c>
      <c r="B312" t="s">
        <v>51</v>
      </c>
      <c r="C312" t="s">
        <v>52</v>
      </c>
      <c r="D312" t="s">
        <v>63</v>
      </c>
    </row>
    <row r="313" spans="1:4" x14ac:dyDescent="0.35">
      <c r="A313" t="s">
        <v>5</v>
      </c>
    </row>
    <row r="314" spans="1:4" x14ac:dyDescent="0.35">
      <c r="A314" t="s">
        <v>50</v>
      </c>
      <c r="B314" t="s">
        <v>51</v>
      </c>
      <c r="C314" t="s">
        <v>52</v>
      </c>
    </row>
    <row r="315" spans="1:4" x14ac:dyDescent="0.35">
      <c r="A315" t="s">
        <v>11</v>
      </c>
    </row>
    <row r="316" spans="1:4" x14ac:dyDescent="0.35">
      <c r="A316" t="s">
        <v>115</v>
      </c>
      <c r="B316" t="s">
        <v>11</v>
      </c>
    </row>
    <row r="317" spans="1:4" x14ac:dyDescent="0.35">
      <c r="A317" t="s">
        <v>15</v>
      </c>
    </row>
    <row r="318" spans="1:4" x14ac:dyDescent="0.35">
      <c r="A318" t="s">
        <v>50</v>
      </c>
      <c r="B318" t="s">
        <v>51</v>
      </c>
      <c r="C318" t="s">
        <v>52</v>
      </c>
    </row>
    <row r="319" spans="1:4" x14ac:dyDescent="0.35">
      <c r="A319" t="s">
        <v>3</v>
      </c>
    </row>
    <row r="320" spans="1:4" x14ac:dyDescent="0.35">
      <c r="A320" t="s">
        <v>50</v>
      </c>
      <c r="B320" t="s">
        <v>51</v>
      </c>
      <c r="C320" t="s">
        <v>52</v>
      </c>
      <c r="D320" t="s">
        <v>63</v>
      </c>
    </row>
    <row r="321" spans="1:7" x14ac:dyDescent="0.35">
      <c r="A321" t="s">
        <v>16</v>
      </c>
    </row>
    <row r="322" spans="1:7" x14ac:dyDescent="0.35">
      <c r="A322" t="s">
        <v>50</v>
      </c>
      <c r="B322" t="s">
        <v>51</v>
      </c>
      <c r="C322" t="s">
        <v>52</v>
      </c>
      <c r="D322" t="s">
        <v>63</v>
      </c>
    </row>
    <row r="323" spans="1:7" x14ac:dyDescent="0.35">
      <c r="A323" t="s">
        <v>2</v>
      </c>
    </row>
    <row r="324" spans="1:7" x14ac:dyDescent="0.35">
      <c r="A324" t="s">
        <v>10</v>
      </c>
    </row>
    <row r="325" spans="1:7" x14ac:dyDescent="0.35">
      <c r="A325" t="s">
        <v>50</v>
      </c>
      <c r="B325" t="s">
        <v>51</v>
      </c>
      <c r="C325" t="s">
        <v>52</v>
      </c>
      <c r="D325" t="s">
        <v>63</v>
      </c>
    </row>
    <row r="326" spans="1:7" x14ac:dyDescent="0.35">
      <c r="A326" t="s">
        <v>5</v>
      </c>
    </row>
    <row r="327" spans="1:7" x14ac:dyDescent="0.35">
      <c r="A327" t="s">
        <v>10</v>
      </c>
    </row>
    <row r="328" spans="1:7" x14ac:dyDescent="0.35">
      <c r="A328" t="s">
        <v>50</v>
      </c>
      <c r="B328" t="s">
        <v>51</v>
      </c>
      <c r="C328" t="s">
        <v>52</v>
      </c>
      <c r="D328" t="s">
        <v>63</v>
      </c>
    </row>
    <row r="329" spans="1:7" x14ac:dyDescent="0.35">
      <c r="A329" t="s">
        <v>14</v>
      </c>
    </row>
    <row r="330" spans="1:7" x14ac:dyDescent="0.35">
      <c r="A330" t="s">
        <v>93</v>
      </c>
      <c r="B330" t="s">
        <v>50</v>
      </c>
      <c r="C330" t="s">
        <v>51</v>
      </c>
      <c r="D330" t="s">
        <v>52</v>
      </c>
      <c r="E330" t="s">
        <v>94</v>
      </c>
      <c r="F330" t="s">
        <v>77</v>
      </c>
      <c r="G330" t="s">
        <v>95</v>
      </c>
    </row>
    <row r="331" spans="1:7" x14ac:dyDescent="0.35">
      <c r="A331" t="s">
        <v>109</v>
      </c>
      <c r="B331" t="s">
        <v>110</v>
      </c>
      <c r="C331" t="s">
        <v>111</v>
      </c>
    </row>
    <row r="332" spans="1:7" x14ac:dyDescent="0.35">
      <c r="A332" t="s">
        <v>11</v>
      </c>
    </row>
    <row r="333" spans="1:7" x14ac:dyDescent="0.35">
      <c r="A333" t="s">
        <v>50</v>
      </c>
      <c r="B333" t="s">
        <v>51</v>
      </c>
      <c r="C333" t="s">
        <v>52</v>
      </c>
      <c r="D333" t="s">
        <v>63</v>
      </c>
    </row>
    <row r="334" spans="1:7" x14ac:dyDescent="0.35">
      <c r="A334" t="s">
        <v>50</v>
      </c>
      <c r="B334" t="s">
        <v>51</v>
      </c>
      <c r="C334" t="s">
        <v>52</v>
      </c>
      <c r="D334" t="s">
        <v>60</v>
      </c>
      <c r="E334" t="s">
        <v>106</v>
      </c>
      <c r="F334" t="s">
        <v>61</v>
      </c>
    </row>
    <row r="335" spans="1:7" x14ac:dyDescent="0.35">
      <c r="A335" t="s">
        <v>50</v>
      </c>
      <c r="B335" t="s">
        <v>51</v>
      </c>
      <c r="C335" t="s">
        <v>52</v>
      </c>
    </row>
    <row r="336" spans="1:7" x14ac:dyDescent="0.35">
      <c r="A336" t="s">
        <v>2</v>
      </c>
    </row>
    <row r="337" spans="1:6" x14ac:dyDescent="0.35">
      <c r="A337" t="s">
        <v>1</v>
      </c>
    </row>
    <row r="338" spans="1:6" x14ac:dyDescent="0.35">
      <c r="A338" t="s">
        <v>50</v>
      </c>
      <c r="B338" t="s">
        <v>51</v>
      </c>
      <c r="C338" t="s">
        <v>52</v>
      </c>
      <c r="D338" t="s">
        <v>63</v>
      </c>
    </row>
    <row r="339" spans="1:6" x14ac:dyDescent="0.35">
      <c r="A339" t="s">
        <v>50</v>
      </c>
      <c r="B339" t="s">
        <v>51</v>
      </c>
      <c r="C339" t="s">
        <v>52</v>
      </c>
      <c r="D339" t="s">
        <v>72</v>
      </c>
      <c r="E339" t="s">
        <v>73</v>
      </c>
    </row>
    <row r="340" spans="1:6" x14ac:dyDescent="0.35">
      <c r="A340" t="s">
        <v>1</v>
      </c>
    </row>
    <row r="341" spans="1:6" x14ac:dyDescent="0.35">
      <c r="A341" t="s">
        <v>4</v>
      </c>
    </row>
    <row r="342" spans="1:6" x14ac:dyDescent="0.35">
      <c r="A342" t="s">
        <v>1</v>
      </c>
    </row>
    <row r="343" spans="1:6" x14ac:dyDescent="0.35">
      <c r="A343" t="s">
        <v>50</v>
      </c>
      <c r="B343" t="s">
        <v>51</v>
      </c>
      <c r="C343" t="s">
        <v>52</v>
      </c>
      <c r="D343" t="s">
        <v>77</v>
      </c>
      <c r="E343" t="s">
        <v>116</v>
      </c>
    </row>
    <row r="344" spans="1:6" x14ac:dyDescent="0.35">
      <c r="A344" t="s">
        <v>50</v>
      </c>
      <c r="B344" t="s">
        <v>70</v>
      </c>
      <c r="C344" t="s">
        <v>51</v>
      </c>
      <c r="D344" t="s">
        <v>52</v>
      </c>
      <c r="E344" t="s">
        <v>63</v>
      </c>
      <c r="F344" t="s">
        <v>71</v>
      </c>
    </row>
    <row r="345" spans="1:6" x14ac:dyDescent="0.35">
      <c r="A345" t="s">
        <v>50</v>
      </c>
      <c r="B345" t="s">
        <v>51</v>
      </c>
      <c r="C345" t="s">
        <v>52</v>
      </c>
    </row>
    <row r="346" spans="1:6" x14ac:dyDescent="0.35">
      <c r="A346" t="s">
        <v>1</v>
      </c>
    </row>
    <row r="347" spans="1:6" x14ac:dyDescent="0.35">
      <c r="A347" t="s">
        <v>50</v>
      </c>
      <c r="B347" t="s">
        <v>51</v>
      </c>
      <c r="C347" t="s">
        <v>52</v>
      </c>
    </row>
    <row r="348" spans="1:6" x14ac:dyDescent="0.35">
      <c r="A348" t="s">
        <v>50</v>
      </c>
      <c r="B348" t="s">
        <v>70</v>
      </c>
      <c r="C348" t="s">
        <v>51</v>
      </c>
      <c r="D348" t="s">
        <v>52</v>
      </c>
      <c r="E348" t="s">
        <v>63</v>
      </c>
      <c r="F348" t="s">
        <v>71</v>
      </c>
    </row>
    <row r="349" spans="1:6" x14ac:dyDescent="0.35">
      <c r="A349" t="s">
        <v>50</v>
      </c>
      <c r="B349" t="s">
        <v>51</v>
      </c>
      <c r="C349" t="s">
        <v>52</v>
      </c>
    </row>
    <row r="350" spans="1:6" x14ac:dyDescent="0.35">
      <c r="A350" t="s">
        <v>3</v>
      </c>
    </row>
    <row r="351" spans="1:6" x14ac:dyDescent="0.35">
      <c r="A351" t="s">
        <v>50</v>
      </c>
      <c r="B351" t="s">
        <v>51</v>
      </c>
      <c r="C351" t="s">
        <v>52</v>
      </c>
      <c r="D351" t="s">
        <v>63</v>
      </c>
    </row>
    <row r="352" spans="1:6" x14ac:dyDescent="0.35">
      <c r="A352" t="s">
        <v>64</v>
      </c>
      <c r="B352" t="s">
        <v>65</v>
      </c>
      <c r="C352" t="s">
        <v>18</v>
      </c>
    </row>
    <row r="353" spans="1:7" x14ac:dyDescent="0.35">
      <c r="A353" t="s">
        <v>93</v>
      </c>
      <c r="B353" t="s">
        <v>50</v>
      </c>
      <c r="C353" t="s">
        <v>51</v>
      </c>
      <c r="D353" t="s">
        <v>52</v>
      </c>
      <c r="E353" t="s">
        <v>94</v>
      </c>
      <c r="F353" t="s">
        <v>77</v>
      </c>
      <c r="G353" t="s">
        <v>95</v>
      </c>
    </row>
    <row r="354" spans="1:7" x14ac:dyDescent="0.35">
      <c r="A354" t="s">
        <v>17</v>
      </c>
    </row>
    <row r="355" spans="1:7" x14ac:dyDescent="0.35">
      <c r="A355" t="s">
        <v>56</v>
      </c>
      <c r="B355" t="s">
        <v>57</v>
      </c>
      <c r="C355" t="s">
        <v>104</v>
      </c>
    </row>
    <row r="356" spans="1:7" x14ac:dyDescent="0.35">
      <c r="A356" t="s">
        <v>50</v>
      </c>
      <c r="B356" t="s">
        <v>51</v>
      </c>
      <c r="C356" t="s">
        <v>52</v>
      </c>
    </row>
    <row r="357" spans="1:7" x14ac:dyDescent="0.35">
      <c r="A357" t="s">
        <v>1</v>
      </c>
    </row>
    <row r="358" spans="1:7" x14ac:dyDescent="0.35">
      <c r="A358" t="s">
        <v>56</v>
      </c>
      <c r="B358" t="s">
        <v>57</v>
      </c>
    </row>
    <row r="359" spans="1:7" x14ac:dyDescent="0.35">
      <c r="A359" t="s">
        <v>7</v>
      </c>
    </row>
    <row r="360" spans="1:7" x14ac:dyDescent="0.35">
      <c r="A360" t="s">
        <v>50</v>
      </c>
      <c r="B360" t="s">
        <v>51</v>
      </c>
      <c r="C360" t="s">
        <v>52</v>
      </c>
    </row>
    <row r="361" spans="1:7" x14ac:dyDescent="0.35">
      <c r="A361" t="s">
        <v>50</v>
      </c>
      <c r="B361" t="s">
        <v>51</v>
      </c>
      <c r="C361" t="s">
        <v>52</v>
      </c>
    </row>
    <row r="362" spans="1:7" x14ac:dyDescent="0.35">
      <c r="A362" t="s">
        <v>3</v>
      </c>
      <c r="B362" t="s">
        <v>117</v>
      </c>
    </row>
    <row r="363" spans="1:7" x14ac:dyDescent="0.35">
      <c r="A363" t="s">
        <v>64</v>
      </c>
      <c r="B363" t="s">
        <v>18</v>
      </c>
    </row>
    <row r="364" spans="1:7" x14ac:dyDescent="0.35">
      <c r="A364" t="s">
        <v>81</v>
      </c>
      <c r="B364" t="s">
        <v>11</v>
      </c>
    </row>
    <row r="365" spans="1:7" x14ac:dyDescent="0.35">
      <c r="A365" t="s">
        <v>93</v>
      </c>
      <c r="B365" t="s">
        <v>50</v>
      </c>
      <c r="C365" t="s">
        <v>51</v>
      </c>
      <c r="D365" t="s">
        <v>52</v>
      </c>
      <c r="E365" t="s">
        <v>94</v>
      </c>
      <c r="F365" t="s">
        <v>77</v>
      </c>
      <c r="G365" t="s">
        <v>95</v>
      </c>
    </row>
    <row r="366" spans="1:7" x14ac:dyDescent="0.35">
      <c r="A366" t="s">
        <v>56</v>
      </c>
      <c r="B366" t="s">
        <v>57</v>
      </c>
    </row>
    <row r="367" spans="1:7" x14ac:dyDescent="0.35">
      <c r="A367" t="s">
        <v>3</v>
      </c>
    </row>
    <row r="368" spans="1:7" x14ac:dyDescent="0.35">
      <c r="A368" t="s">
        <v>6</v>
      </c>
    </row>
    <row r="369" spans="1:6" x14ac:dyDescent="0.35">
      <c r="A369" t="s">
        <v>50</v>
      </c>
      <c r="B369" t="s">
        <v>51</v>
      </c>
      <c r="C369" t="s">
        <v>52</v>
      </c>
      <c r="D369" t="s">
        <v>60</v>
      </c>
      <c r="E369" t="s">
        <v>118</v>
      </c>
      <c r="F369" t="s">
        <v>61</v>
      </c>
    </row>
    <row r="370" spans="1:6" x14ac:dyDescent="0.35">
      <c r="A370" t="s">
        <v>50</v>
      </c>
      <c r="B370" t="s">
        <v>51</v>
      </c>
      <c r="C370" t="s">
        <v>52</v>
      </c>
    </row>
    <row r="371" spans="1:6" x14ac:dyDescent="0.35">
      <c r="A371" t="s">
        <v>50</v>
      </c>
      <c r="B371" t="s">
        <v>51</v>
      </c>
      <c r="C371" t="s">
        <v>52</v>
      </c>
      <c r="D371" t="s">
        <v>60</v>
      </c>
      <c r="E371" t="s">
        <v>106</v>
      </c>
      <c r="F371" t="s">
        <v>61</v>
      </c>
    </row>
    <row r="372" spans="1:6" x14ac:dyDescent="0.35">
      <c r="A372" t="s">
        <v>13</v>
      </c>
    </row>
    <row r="373" spans="1:6" x14ac:dyDescent="0.35">
      <c r="A373" t="s">
        <v>11</v>
      </c>
      <c r="B373" t="s">
        <v>107</v>
      </c>
    </row>
    <row r="374" spans="1:6" x14ac:dyDescent="0.35">
      <c r="A374" t="s">
        <v>2</v>
      </c>
    </row>
    <row r="375" spans="1:6" x14ac:dyDescent="0.35">
      <c r="A375" t="s">
        <v>7</v>
      </c>
    </row>
    <row r="376" spans="1:6" x14ac:dyDescent="0.35">
      <c r="A376" t="s">
        <v>12</v>
      </c>
    </row>
    <row r="377" spans="1:6" x14ac:dyDescent="0.35">
      <c r="A377" t="s">
        <v>3</v>
      </c>
    </row>
    <row r="378" spans="1:6" x14ac:dyDescent="0.35">
      <c r="A378" t="s">
        <v>64</v>
      </c>
      <c r="B378" t="s">
        <v>18</v>
      </c>
    </row>
    <row r="379" spans="1:6" x14ac:dyDescent="0.35">
      <c r="A379" t="s">
        <v>50</v>
      </c>
      <c r="B379" t="s">
        <v>51</v>
      </c>
      <c r="C379" t="s">
        <v>52</v>
      </c>
      <c r="D379" t="s">
        <v>63</v>
      </c>
    </row>
    <row r="380" spans="1:6" x14ac:dyDescent="0.35">
      <c r="A380" t="s">
        <v>12</v>
      </c>
    </row>
    <row r="381" spans="1:6" x14ac:dyDescent="0.35">
      <c r="A381" t="s">
        <v>50</v>
      </c>
      <c r="B381" t="s">
        <v>51</v>
      </c>
      <c r="C381" t="s">
        <v>52</v>
      </c>
      <c r="D381" t="s">
        <v>63</v>
      </c>
    </row>
    <row r="382" spans="1:6" x14ac:dyDescent="0.35">
      <c r="A382" t="s">
        <v>3</v>
      </c>
    </row>
    <row r="383" spans="1:6" x14ac:dyDescent="0.35">
      <c r="A383" t="s">
        <v>56</v>
      </c>
      <c r="B383" t="s">
        <v>57</v>
      </c>
    </row>
    <row r="384" spans="1:6" x14ac:dyDescent="0.35">
      <c r="A384" t="s">
        <v>6</v>
      </c>
    </row>
    <row r="385" spans="1:7" x14ac:dyDescent="0.35">
      <c r="A385" t="s">
        <v>50</v>
      </c>
      <c r="B385" t="s">
        <v>51</v>
      </c>
      <c r="C385" t="s">
        <v>52</v>
      </c>
      <c r="D385" t="s">
        <v>60</v>
      </c>
      <c r="E385" t="s">
        <v>61</v>
      </c>
    </row>
    <row r="386" spans="1:7" x14ac:dyDescent="0.35">
      <c r="A386" t="s">
        <v>93</v>
      </c>
      <c r="B386" t="s">
        <v>50</v>
      </c>
      <c r="C386" t="s">
        <v>51</v>
      </c>
      <c r="D386" t="s">
        <v>52</v>
      </c>
      <c r="E386" t="s">
        <v>94</v>
      </c>
      <c r="F386" t="s">
        <v>77</v>
      </c>
      <c r="G386" t="s">
        <v>95</v>
      </c>
    </row>
    <row r="387" spans="1:7" x14ac:dyDescent="0.35">
      <c r="A387" t="s">
        <v>50</v>
      </c>
      <c r="B387" t="s">
        <v>51</v>
      </c>
      <c r="C387" t="s">
        <v>52</v>
      </c>
      <c r="D387" t="s">
        <v>63</v>
      </c>
    </row>
    <row r="388" spans="1:7" x14ac:dyDescent="0.35">
      <c r="A388" t="s">
        <v>50</v>
      </c>
      <c r="B388" t="s">
        <v>51</v>
      </c>
      <c r="C388" t="s">
        <v>52</v>
      </c>
      <c r="D388" t="s">
        <v>55</v>
      </c>
      <c r="E388" t="s">
        <v>119</v>
      </c>
    </row>
    <row r="389" spans="1:7" x14ac:dyDescent="0.35">
      <c r="A389" t="s">
        <v>50</v>
      </c>
      <c r="B389" t="s">
        <v>70</v>
      </c>
      <c r="C389" t="s">
        <v>51</v>
      </c>
      <c r="D389" t="s">
        <v>52</v>
      </c>
      <c r="E389" t="s">
        <v>63</v>
      </c>
      <c r="F389" t="s">
        <v>71</v>
      </c>
    </row>
    <row r="390" spans="1:7" x14ac:dyDescent="0.35">
      <c r="A390" t="s">
        <v>50</v>
      </c>
      <c r="B390" t="s">
        <v>51</v>
      </c>
      <c r="C390" t="s">
        <v>82</v>
      </c>
      <c r="D390" t="s">
        <v>52</v>
      </c>
      <c r="E390" t="s">
        <v>77</v>
      </c>
      <c r="F390" t="s">
        <v>83</v>
      </c>
      <c r="G390" t="s">
        <v>84</v>
      </c>
    </row>
    <row r="391" spans="1:7" x14ac:dyDescent="0.35">
      <c r="A391" t="s">
        <v>1</v>
      </c>
      <c r="B391" t="s">
        <v>87</v>
      </c>
      <c r="C391" t="s">
        <v>120</v>
      </c>
    </row>
    <row r="392" spans="1:7" x14ac:dyDescent="0.35">
      <c r="A392" t="s">
        <v>50</v>
      </c>
      <c r="B392" t="s">
        <v>51</v>
      </c>
      <c r="C392" t="s">
        <v>52</v>
      </c>
      <c r="D392" t="s">
        <v>63</v>
      </c>
    </row>
    <row r="393" spans="1:7" x14ac:dyDescent="0.35">
      <c r="A393" t="s">
        <v>50</v>
      </c>
      <c r="B393" t="s">
        <v>51</v>
      </c>
      <c r="C393" t="s">
        <v>52</v>
      </c>
      <c r="D393" t="s">
        <v>89</v>
      </c>
      <c r="E393" t="s">
        <v>72</v>
      </c>
      <c r="F393" t="s">
        <v>73</v>
      </c>
    </row>
    <row r="394" spans="1:7" x14ac:dyDescent="0.35">
      <c r="A394" t="s">
        <v>1</v>
      </c>
    </row>
    <row r="395" spans="1:7" x14ac:dyDescent="0.35">
      <c r="A395" t="s">
        <v>50</v>
      </c>
      <c r="B395" t="s">
        <v>51</v>
      </c>
      <c r="C395" t="s">
        <v>52</v>
      </c>
      <c r="D395" t="s">
        <v>61</v>
      </c>
    </row>
    <row r="396" spans="1:7" x14ac:dyDescent="0.35">
      <c r="A396" t="s">
        <v>2</v>
      </c>
    </row>
    <row r="397" spans="1:7" x14ac:dyDescent="0.35">
      <c r="A397" t="s">
        <v>50</v>
      </c>
      <c r="B397" t="s">
        <v>51</v>
      </c>
      <c r="C397" t="s">
        <v>52</v>
      </c>
      <c r="D397" t="s">
        <v>74</v>
      </c>
      <c r="E397" t="s">
        <v>75</v>
      </c>
    </row>
    <row r="398" spans="1:7" x14ac:dyDescent="0.35">
      <c r="A398" t="s">
        <v>81</v>
      </c>
      <c r="B398" t="s">
        <v>11</v>
      </c>
    </row>
    <row r="399" spans="1:7" x14ac:dyDescent="0.35">
      <c r="A399" t="s">
        <v>50</v>
      </c>
      <c r="B399" t="s">
        <v>51</v>
      </c>
      <c r="C399" t="s">
        <v>52</v>
      </c>
    </row>
    <row r="400" spans="1:7" x14ac:dyDescent="0.35">
      <c r="A400" t="s">
        <v>50</v>
      </c>
      <c r="B400" t="s">
        <v>51</v>
      </c>
      <c r="C400" t="s">
        <v>52</v>
      </c>
    </row>
    <row r="401" spans="1:5" x14ac:dyDescent="0.35">
      <c r="A401" t="s">
        <v>4</v>
      </c>
    </row>
    <row r="402" spans="1:5" x14ac:dyDescent="0.35">
      <c r="A402" t="s">
        <v>50</v>
      </c>
      <c r="B402" t="s">
        <v>51</v>
      </c>
      <c r="C402" t="s">
        <v>52</v>
      </c>
    </row>
    <row r="403" spans="1:5" x14ac:dyDescent="0.35">
      <c r="A403" t="s">
        <v>1</v>
      </c>
    </row>
    <row r="404" spans="1:5" x14ac:dyDescent="0.35">
      <c r="A404" t="s">
        <v>4</v>
      </c>
    </row>
    <row r="405" spans="1:5" x14ac:dyDescent="0.35">
      <c r="A405" t="s">
        <v>3</v>
      </c>
    </row>
    <row r="406" spans="1:5" x14ac:dyDescent="0.35">
      <c r="A406" t="s">
        <v>108</v>
      </c>
      <c r="B406" t="s">
        <v>11</v>
      </c>
    </row>
    <row r="407" spans="1:5" x14ac:dyDescent="0.35">
      <c r="A407" t="s">
        <v>56</v>
      </c>
      <c r="B407" t="s">
        <v>57</v>
      </c>
    </row>
    <row r="408" spans="1:5" x14ac:dyDescent="0.35">
      <c r="A408" t="s">
        <v>17</v>
      </c>
    </row>
    <row r="409" spans="1:5" x14ac:dyDescent="0.35">
      <c r="A409" t="s">
        <v>50</v>
      </c>
      <c r="B409" t="s">
        <v>51</v>
      </c>
      <c r="C409" t="s">
        <v>52</v>
      </c>
    </row>
    <row r="410" spans="1:5" x14ac:dyDescent="0.35">
      <c r="A410" t="s">
        <v>50</v>
      </c>
      <c r="B410" t="s">
        <v>51</v>
      </c>
      <c r="C410" t="s">
        <v>52</v>
      </c>
      <c r="D410" t="s">
        <v>60</v>
      </c>
      <c r="E410" t="s">
        <v>61</v>
      </c>
    </row>
    <row r="411" spans="1:5" x14ac:dyDescent="0.35">
      <c r="A411" t="s">
        <v>50</v>
      </c>
      <c r="B411" t="s">
        <v>51</v>
      </c>
      <c r="C411" t="s">
        <v>52</v>
      </c>
    </row>
    <row r="412" spans="1:5" x14ac:dyDescent="0.35">
      <c r="A412" t="s">
        <v>56</v>
      </c>
      <c r="B412" t="s">
        <v>57</v>
      </c>
    </row>
    <row r="413" spans="1:5" x14ac:dyDescent="0.35">
      <c r="A413" t="s">
        <v>96</v>
      </c>
      <c r="B413" t="s">
        <v>18</v>
      </c>
    </row>
    <row r="414" spans="1:5" x14ac:dyDescent="0.35">
      <c r="A414" t="s">
        <v>50</v>
      </c>
      <c r="B414" t="s">
        <v>51</v>
      </c>
      <c r="C414" t="s">
        <v>52</v>
      </c>
    </row>
    <row r="415" spans="1:5" x14ac:dyDescent="0.35">
      <c r="A415" t="s">
        <v>4</v>
      </c>
    </row>
    <row r="416" spans="1:5" x14ac:dyDescent="0.35">
      <c r="A416" t="s">
        <v>1</v>
      </c>
    </row>
    <row r="417" spans="1:6" x14ac:dyDescent="0.35">
      <c r="A417" t="s">
        <v>1</v>
      </c>
    </row>
    <row r="418" spans="1:6" x14ac:dyDescent="0.35">
      <c r="A418" t="s">
        <v>50</v>
      </c>
      <c r="B418" t="s">
        <v>70</v>
      </c>
      <c r="C418" t="s">
        <v>51</v>
      </c>
      <c r="D418" t="s">
        <v>52</v>
      </c>
      <c r="E418" t="s">
        <v>63</v>
      </c>
      <c r="F418" t="s">
        <v>71</v>
      </c>
    </row>
    <row r="419" spans="1:6" x14ac:dyDescent="0.35">
      <c r="A419" t="s">
        <v>64</v>
      </c>
      <c r="B419" t="s">
        <v>65</v>
      </c>
      <c r="C419" t="s">
        <v>66</v>
      </c>
      <c r="D419" t="s">
        <v>18</v>
      </c>
      <c r="E419" t="s">
        <v>67</v>
      </c>
      <c r="F419" t="s">
        <v>68</v>
      </c>
    </row>
    <row r="420" spans="1:6" x14ac:dyDescent="0.35">
      <c r="A420" t="s">
        <v>121</v>
      </c>
      <c r="B420" t="s">
        <v>122</v>
      </c>
    </row>
    <row r="421" spans="1:6" x14ac:dyDescent="0.35">
      <c r="A421" t="s">
        <v>17</v>
      </c>
    </row>
    <row r="422" spans="1:6" x14ac:dyDescent="0.35">
      <c r="A422" t="s">
        <v>64</v>
      </c>
      <c r="B422" t="s">
        <v>18</v>
      </c>
    </row>
    <row r="423" spans="1:6" x14ac:dyDescent="0.35">
      <c r="A423" t="s">
        <v>1</v>
      </c>
    </row>
    <row r="424" spans="1:6" x14ac:dyDescent="0.35">
      <c r="A424" t="s">
        <v>2</v>
      </c>
    </row>
    <row r="425" spans="1:6" x14ac:dyDescent="0.35">
      <c r="A425" t="s">
        <v>3</v>
      </c>
    </row>
    <row r="426" spans="1:6" x14ac:dyDescent="0.35">
      <c r="A426" t="s">
        <v>10</v>
      </c>
    </row>
    <row r="427" spans="1:6" x14ac:dyDescent="0.35">
      <c r="A427" t="s">
        <v>11</v>
      </c>
    </row>
    <row r="428" spans="1:6" x14ac:dyDescent="0.35">
      <c r="A428" t="s">
        <v>3</v>
      </c>
    </row>
    <row r="429" spans="1:6" x14ac:dyDescent="0.35">
      <c r="A429" t="s">
        <v>123</v>
      </c>
      <c r="B429" t="s">
        <v>124</v>
      </c>
      <c r="C429" t="s">
        <v>125</v>
      </c>
    </row>
    <row r="430" spans="1:6" x14ac:dyDescent="0.35">
      <c r="A430" t="s">
        <v>50</v>
      </c>
      <c r="B430" t="s">
        <v>51</v>
      </c>
      <c r="C430" t="s">
        <v>52</v>
      </c>
      <c r="D430" t="s">
        <v>63</v>
      </c>
    </row>
    <row r="431" spans="1:6" x14ac:dyDescent="0.35">
      <c r="A431" t="s">
        <v>2</v>
      </c>
    </row>
    <row r="432" spans="1:6" x14ac:dyDescent="0.35">
      <c r="A432" t="s">
        <v>4</v>
      </c>
    </row>
    <row r="433" spans="1:6" x14ac:dyDescent="0.35">
      <c r="A433" t="s">
        <v>50</v>
      </c>
      <c r="B433" t="s">
        <v>51</v>
      </c>
      <c r="C433" t="s">
        <v>52</v>
      </c>
    </row>
    <row r="434" spans="1:6" x14ac:dyDescent="0.35">
      <c r="A434" t="s">
        <v>50</v>
      </c>
      <c r="B434" t="s">
        <v>51</v>
      </c>
      <c r="C434" t="s">
        <v>52</v>
      </c>
      <c r="D434" t="s">
        <v>74</v>
      </c>
      <c r="E434" t="s">
        <v>75</v>
      </c>
    </row>
    <row r="435" spans="1:6" x14ac:dyDescent="0.35">
      <c r="A435" t="s">
        <v>56</v>
      </c>
      <c r="B435" t="s">
        <v>57</v>
      </c>
      <c r="C435" t="s">
        <v>58</v>
      </c>
    </row>
    <row r="436" spans="1:6" x14ac:dyDescent="0.35">
      <c r="A436" t="s">
        <v>4</v>
      </c>
    </row>
    <row r="437" spans="1:6" x14ac:dyDescent="0.35">
      <c r="A437" t="s">
        <v>3</v>
      </c>
    </row>
    <row r="438" spans="1:6" x14ac:dyDescent="0.35">
      <c r="A438" t="s">
        <v>18</v>
      </c>
    </row>
    <row r="439" spans="1:6" x14ac:dyDescent="0.35">
      <c r="A439" t="s">
        <v>105</v>
      </c>
      <c r="B439" t="s">
        <v>14</v>
      </c>
    </row>
    <row r="440" spans="1:6" x14ac:dyDescent="0.35">
      <c r="A440" t="s">
        <v>50</v>
      </c>
      <c r="B440" t="s">
        <v>51</v>
      </c>
      <c r="C440" t="s">
        <v>52</v>
      </c>
    </row>
    <row r="441" spans="1:6" x14ac:dyDescent="0.35">
      <c r="A441" t="s">
        <v>50</v>
      </c>
      <c r="B441" t="s">
        <v>51</v>
      </c>
      <c r="C441" t="s">
        <v>52</v>
      </c>
    </row>
    <row r="442" spans="1:6" x14ac:dyDescent="0.35">
      <c r="A442" t="s">
        <v>126</v>
      </c>
      <c r="B442" t="s">
        <v>127</v>
      </c>
    </row>
    <row r="443" spans="1:6" x14ac:dyDescent="0.35">
      <c r="A443" t="s">
        <v>50</v>
      </c>
      <c r="B443" t="s">
        <v>51</v>
      </c>
      <c r="C443" t="s">
        <v>52</v>
      </c>
      <c r="D443" t="s">
        <v>74</v>
      </c>
      <c r="E443" t="s">
        <v>75</v>
      </c>
    </row>
    <row r="444" spans="1:6" x14ac:dyDescent="0.35">
      <c r="A444" t="s">
        <v>2</v>
      </c>
    </row>
    <row r="445" spans="1:6" x14ac:dyDescent="0.35">
      <c r="A445" t="s">
        <v>50</v>
      </c>
      <c r="B445" t="s">
        <v>51</v>
      </c>
      <c r="C445" t="s">
        <v>52</v>
      </c>
      <c r="D445" t="s">
        <v>63</v>
      </c>
    </row>
    <row r="446" spans="1:6" x14ac:dyDescent="0.35">
      <c r="A446" t="s">
        <v>50</v>
      </c>
      <c r="B446" t="s">
        <v>51</v>
      </c>
      <c r="C446" t="s">
        <v>52</v>
      </c>
      <c r="D446" t="s">
        <v>72</v>
      </c>
      <c r="E446" t="s">
        <v>73</v>
      </c>
      <c r="F446" t="s">
        <v>113</v>
      </c>
    </row>
    <row r="447" spans="1:6" x14ac:dyDescent="0.35">
      <c r="A447" t="s">
        <v>50</v>
      </c>
      <c r="B447" t="s">
        <v>51</v>
      </c>
      <c r="C447" t="s">
        <v>52</v>
      </c>
      <c r="D447" t="s">
        <v>63</v>
      </c>
    </row>
    <row r="448" spans="1:6" x14ac:dyDescent="0.35">
      <c r="A448" t="s">
        <v>56</v>
      </c>
      <c r="B448" t="s">
        <v>57</v>
      </c>
    </row>
    <row r="449" spans="1:7" x14ac:dyDescent="0.35">
      <c r="A449" t="s">
        <v>93</v>
      </c>
      <c r="B449" t="s">
        <v>50</v>
      </c>
      <c r="C449" t="s">
        <v>51</v>
      </c>
      <c r="D449" t="s">
        <v>52</v>
      </c>
      <c r="E449" t="s">
        <v>94</v>
      </c>
      <c r="F449" t="s">
        <v>77</v>
      </c>
      <c r="G449" t="s">
        <v>95</v>
      </c>
    </row>
    <row r="450" spans="1:7" x14ac:dyDescent="0.35">
      <c r="A450" t="s">
        <v>50</v>
      </c>
      <c r="B450" t="s">
        <v>51</v>
      </c>
      <c r="C450" t="s">
        <v>52</v>
      </c>
      <c r="D450" t="s">
        <v>77</v>
      </c>
      <c r="E450" t="s">
        <v>83</v>
      </c>
      <c r="F450" t="s">
        <v>84</v>
      </c>
    </row>
    <row r="451" spans="1:7" x14ac:dyDescent="0.35">
      <c r="A451" t="s">
        <v>50</v>
      </c>
      <c r="B451" t="s">
        <v>51</v>
      </c>
      <c r="C451" t="s">
        <v>52</v>
      </c>
      <c r="D451" t="s">
        <v>72</v>
      </c>
      <c r="E451" t="s">
        <v>73</v>
      </c>
    </row>
    <row r="452" spans="1:7" x14ac:dyDescent="0.35">
      <c r="A452" t="s">
        <v>50</v>
      </c>
      <c r="B452" t="s">
        <v>51</v>
      </c>
      <c r="C452" t="s">
        <v>52</v>
      </c>
      <c r="D452" t="s">
        <v>72</v>
      </c>
      <c r="E452" t="s">
        <v>73</v>
      </c>
    </row>
    <row r="453" spans="1:7" x14ac:dyDescent="0.35">
      <c r="A453" t="s">
        <v>50</v>
      </c>
      <c r="B453" t="s">
        <v>51</v>
      </c>
      <c r="C453" t="s">
        <v>52</v>
      </c>
      <c r="D453" t="s">
        <v>63</v>
      </c>
    </row>
    <row r="454" spans="1:7" x14ac:dyDescent="0.35">
      <c r="A454" t="s">
        <v>50</v>
      </c>
      <c r="B454" t="s">
        <v>51</v>
      </c>
      <c r="C454" t="s">
        <v>52</v>
      </c>
    </row>
    <row r="455" spans="1:7" x14ac:dyDescent="0.35">
      <c r="A455" t="s">
        <v>81</v>
      </c>
      <c r="B455" t="s">
        <v>11</v>
      </c>
    </row>
    <row r="456" spans="1:7" x14ac:dyDescent="0.35">
      <c r="A456" t="s">
        <v>50</v>
      </c>
      <c r="B456" t="s">
        <v>51</v>
      </c>
      <c r="C456" t="s">
        <v>52</v>
      </c>
    </row>
    <row r="457" spans="1:7" x14ac:dyDescent="0.35">
      <c r="A457" t="s">
        <v>50</v>
      </c>
      <c r="B457" t="s">
        <v>51</v>
      </c>
      <c r="C457" t="s">
        <v>52</v>
      </c>
      <c r="D457" t="s">
        <v>72</v>
      </c>
      <c r="E457" t="s">
        <v>73</v>
      </c>
    </row>
    <row r="458" spans="1:7" x14ac:dyDescent="0.35">
      <c r="A458" t="s">
        <v>1</v>
      </c>
    </row>
    <row r="459" spans="1:7" x14ac:dyDescent="0.35">
      <c r="A459" t="s">
        <v>56</v>
      </c>
      <c r="B459" t="s">
        <v>57</v>
      </c>
      <c r="C459" t="s">
        <v>104</v>
      </c>
    </row>
    <row r="460" spans="1:7" x14ac:dyDescent="0.35">
      <c r="A460" t="s">
        <v>50</v>
      </c>
      <c r="B460" t="s">
        <v>51</v>
      </c>
      <c r="C460" t="s">
        <v>52</v>
      </c>
      <c r="D460" t="s">
        <v>74</v>
      </c>
      <c r="E460" t="s">
        <v>75</v>
      </c>
    </row>
    <row r="461" spans="1:7" x14ac:dyDescent="0.35">
      <c r="A461" t="s">
        <v>2</v>
      </c>
    </row>
    <row r="462" spans="1:7" x14ac:dyDescent="0.35">
      <c r="A462" t="s">
        <v>56</v>
      </c>
      <c r="B462" t="s">
        <v>57</v>
      </c>
    </row>
    <row r="463" spans="1:7" x14ac:dyDescent="0.35">
      <c r="A463" t="s">
        <v>64</v>
      </c>
      <c r="B463" t="s">
        <v>65</v>
      </c>
      <c r="C463" t="s">
        <v>66</v>
      </c>
      <c r="D463" t="s">
        <v>18</v>
      </c>
      <c r="E463" t="s">
        <v>67</v>
      </c>
      <c r="F463" t="s">
        <v>68</v>
      </c>
    </row>
    <row r="464" spans="1:7" x14ac:dyDescent="0.35">
      <c r="A464" t="s">
        <v>11</v>
      </c>
      <c r="B464" t="s">
        <v>107</v>
      </c>
    </row>
    <row r="465" spans="1:7" x14ac:dyDescent="0.35">
      <c r="A465" t="s">
        <v>50</v>
      </c>
      <c r="B465" t="s">
        <v>51</v>
      </c>
      <c r="C465" t="s">
        <v>52</v>
      </c>
    </row>
    <row r="466" spans="1:7" x14ac:dyDescent="0.35">
      <c r="A466" t="s">
        <v>96</v>
      </c>
      <c r="B466" t="s">
        <v>18</v>
      </c>
    </row>
    <row r="467" spans="1:7" x14ac:dyDescent="0.35">
      <c r="A467" t="s">
        <v>1</v>
      </c>
      <c r="B467" t="s">
        <v>87</v>
      </c>
      <c r="C467" t="s">
        <v>128</v>
      </c>
    </row>
    <row r="468" spans="1:7" x14ac:dyDescent="0.35">
      <c r="A468" t="s">
        <v>13</v>
      </c>
    </row>
    <row r="469" spans="1:7" x14ac:dyDescent="0.35">
      <c r="A469" t="s">
        <v>56</v>
      </c>
      <c r="B469" t="s">
        <v>57</v>
      </c>
    </row>
    <row r="470" spans="1:7" x14ac:dyDescent="0.35">
      <c r="A470" t="s">
        <v>50</v>
      </c>
      <c r="B470" t="s">
        <v>51</v>
      </c>
      <c r="C470" t="s">
        <v>52</v>
      </c>
      <c r="D470" t="s">
        <v>63</v>
      </c>
    </row>
    <row r="471" spans="1:7" x14ac:dyDescent="0.35">
      <c r="A471" t="s">
        <v>3</v>
      </c>
    </row>
    <row r="472" spans="1:7" x14ac:dyDescent="0.35">
      <c r="A472" t="s">
        <v>50</v>
      </c>
      <c r="B472" t="s">
        <v>51</v>
      </c>
      <c r="C472" t="s">
        <v>52</v>
      </c>
    </row>
    <row r="473" spans="1:7" x14ac:dyDescent="0.35">
      <c r="A473" t="s">
        <v>93</v>
      </c>
      <c r="B473" t="s">
        <v>50</v>
      </c>
      <c r="C473" t="s">
        <v>51</v>
      </c>
      <c r="D473" t="s">
        <v>52</v>
      </c>
      <c r="E473" t="s">
        <v>94</v>
      </c>
      <c r="F473" t="s">
        <v>77</v>
      </c>
      <c r="G473" t="s">
        <v>95</v>
      </c>
    </row>
    <row r="474" spans="1:7" x14ac:dyDescent="0.35">
      <c r="A474" t="s">
        <v>50</v>
      </c>
      <c r="B474" t="s">
        <v>51</v>
      </c>
      <c r="C474" t="s">
        <v>52</v>
      </c>
      <c r="D474" t="s">
        <v>63</v>
      </c>
    </row>
    <row r="475" spans="1:7" x14ac:dyDescent="0.35">
      <c r="A475" t="s">
        <v>12</v>
      </c>
    </row>
    <row r="476" spans="1:7" x14ac:dyDescent="0.35">
      <c r="A476" t="s">
        <v>50</v>
      </c>
      <c r="B476" t="s">
        <v>51</v>
      </c>
      <c r="C476" t="s">
        <v>52</v>
      </c>
      <c r="D476" t="s">
        <v>63</v>
      </c>
    </row>
    <row r="477" spans="1:7" x14ac:dyDescent="0.35">
      <c r="A477" t="s">
        <v>50</v>
      </c>
      <c r="B477" t="s">
        <v>51</v>
      </c>
      <c r="C477" t="s">
        <v>52</v>
      </c>
      <c r="D477" t="s">
        <v>63</v>
      </c>
    </row>
    <row r="478" spans="1:7" x14ac:dyDescent="0.35">
      <c r="A478" t="s">
        <v>56</v>
      </c>
      <c r="B478" t="s">
        <v>57</v>
      </c>
    </row>
    <row r="479" spans="1:7" x14ac:dyDescent="0.35">
      <c r="A479" t="s">
        <v>4</v>
      </c>
    </row>
    <row r="480" spans="1:7" x14ac:dyDescent="0.35">
      <c r="A480" t="s">
        <v>3</v>
      </c>
    </row>
    <row r="481" spans="1:7" x14ac:dyDescent="0.35">
      <c r="A481" t="s">
        <v>56</v>
      </c>
      <c r="B481" t="s">
        <v>57</v>
      </c>
    </row>
    <row r="482" spans="1:7" x14ac:dyDescent="0.35">
      <c r="A482" t="s">
        <v>5</v>
      </c>
    </row>
    <row r="483" spans="1:7" x14ac:dyDescent="0.35">
      <c r="A483" t="s">
        <v>105</v>
      </c>
      <c r="B483" t="s">
        <v>14</v>
      </c>
    </row>
    <row r="484" spans="1:7" x14ac:dyDescent="0.35">
      <c r="A484" t="s">
        <v>56</v>
      </c>
      <c r="B484" t="s">
        <v>57</v>
      </c>
      <c r="C484" t="s">
        <v>104</v>
      </c>
    </row>
    <row r="485" spans="1:7" x14ac:dyDescent="0.35">
      <c r="A485" t="s">
        <v>50</v>
      </c>
      <c r="B485" t="s">
        <v>51</v>
      </c>
      <c r="C485" t="s">
        <v>52</v>
      </c>
      <c r="D485" t="s">
        <v>60</v>
      </c>
      <c r="E485" t="s">
        <v>61</v>
      </c>
    </row>
    <row r="486" spans="1:7" x14ac:dyDescent="0.35">
      <c r="A486" t="s">
        <v>11</v>
      </c>
    </row>
    <row r="487" spans="1:7" x14ac:dyDescent="0.35">
      <c r="A487" t="s">
        <v>3</v>
      </c>
    </row>
    <row r="488" spans="1:7" x14ac:dyDescent="0.35">
      <c r="A488" t="s">
        <v>50</v>
      </c>
      <c r="B488" t="s">
        <v>51</v>
      </c>
      <c r="C488" t="s">
        <v>52</v>
      </c>
      <c r="D488" t="s">
        <v>72</v>
      </c>
      <c r="E488" t="s">
        <v>73</v>
      </c>
    </row>
    <row r="489" spans="1:7" x14ac:dyDescent="0.35">
      <c r="A489" t="s">
        <v>1</v>
      </c>
    </row>
    <row r="490" spans="1:7" x14ac:dyDescent="0.35">
      <c r="A490" t="s">
        <v>64</v>
      </c>
      <c r="B490" t="s">
        <v>65</v>
      </c>
      <c r="C490" t="s">
        <v>18</v>
      </c>
    </row>
    <row r="491" spans="1:7" x14ac:dyDescent="0.35">
      <c r="A491" t="s">
        <v>50</v>
      </c>
      <c r="B491" t="s">
        <v>51</v>
      </c>
      <c r="C491" t="s">
        <v>82</v>
      </c>
      <c r="D491" t="s">
        <v>52</v>
      </c>
      <c r="E491" t="s">
        <v>77</v>
      </c>
      <c r="F491" t="s">
        <v>83</v>
      </c>
      <c r="G491" t="s">
        <v>84</v>
      </c>
    </row>
    <row r="492" spans="1:7" x14ac:dyDescent="0.35">
      <c r="A492" t="s">
        <v>96</v>
      </c>
      <c r="B492" t="s">
        <v>18</v>
      </c>
    </row>
    <row r="493" spans="1:7" x14ac:dyDescent="0.35">
      <c r="A493" t="s">
        <v>50</v>
      </c>
      <c r="B493" t="s">
        <v>51</v>
      </c>
      <c r="C493" t="s">
        <v>82</v>
      </c>
      <c r="D493" t="s">
        <v>52</v>
      </c>
      <c r="E493" t="s">
        <v>77</v>
      </c>
      <c r="F493" t="s">
        <v>83</v>
      </c>
      <c r="G493" t="s">
        <v>84</v>
      </c>
    </row>
    <row r="494" spans="1:7" x14ac:dyDescent="0.35">
      <c r="A494" t="s">
        <v>50</v>
      </c>
      <c r="B494" t="s">
        <v>51</v>
      </c>
      <c r="C494" t="s">
        <v>52</v>
      </c>
      <c r="D494" t="s">
        <v>63</v>
      </c>
    </row>
    <row r="495" spans="1:7" x14ac:dyDescent="0.35">
      <c r="A495" t="s">
        <v>50</v>
      </c>
      <c r="B495" t="s">
        <v>51</v>
      </c>
      <c r="C495" t="s">
        <v>52</v>
      </c>
    </row>
    <row r="496" spans="1:7" x14ac:dyDescent="0.35">
      <c r="A496" t="s">
        <v>50</v>
      </c>
      <c r="B496" t="s">
        <v>51</v>
      </c>
      <c r="C496" t="s">
        <v>52</v>
      </c>
      <c r="D496" t="s">
        <v>63</v>
      </c>
    </row>
    <row r="497" spans="1:7" x14ac:dyDescent="0.35">
      <c r="A497" t="s">
        <v>50</v>
      </c>
      <c r="B497" t="s">
        <v>51</v>
      </c>
      <c r="C497" t="s">
        <v>52</v>
      </c>
    </row>
    <row r="498" spans="1:7" x14ac:dyDescent="0.35">
      <c r="A498" t="s">
        <v>96</v>
      </c>
      <c r="B498" t="s">
        <v>66</v>
      </c>
      <c r="C498" t="s">
        <v>18</v>
      </c>
      <c r="D498" t="s">
        <v>67</v>
      </c>
      <c r="E498" t="s">
        <v>68</v>
      </c>
    </row>
    <row r="499" spans="1:7" x14ac:dyDescent="0.35">
      <c r="A499" t="s">
        <v>7</v>
      </c>
    </row>
    <row r="500" spans="1:7" x14ac:dyDescent="0.35">
      <c r="A500" t="s">
        <v>5</v>
      </c>
    </row>
    <row r="501" spans="1:7" x14ac:dyDescent="0.35">
      <c r="A501" t="s">
        <v>19</v>
      </c>
    </row>
    <row r="502" spans="1:7" x14ac:dyDescent="0.35">
      <c r="A502" t="s">
        <v>109</v>
      </c>
      <c r="B502" t="s">
        <v>110</v>
      </c>
      <c r="C502" t="s">
        <v>111</v>
      </c>
    </row>
    <row r="503" spans="1:7" x14ac:dyDescent="0.35">
      <c r="A503" t="s">
        <v>3</v>
      </c>
    </row>
    <row r="504" spans="1:7" x14ac:dyDescent="0.35">
      <c r="A504" t="s">
        <v>8</v>
      </c>
    </row>
    <row r="505" spans="1:7" x14ac:dyDescent="0.35">
      <c r="A505" t="s">
        <v>8</v>
      </c>
    </row>
    <row r="506" spans="1:7" x14ac:dyDescent="0.35">
      <c r="A506" t="s">
        <v>50</v>
      </c>
      <c r="B506" t="s">
        <v>51</v>
      </c>
      <c r="C506" t="s">
        <v>82</v>
      </c>
      <c r="D506" t="s">
        <v>52</v>
      </c>
      <c r="E506" t="s">
        <v>77</v>
      </c>
      <c r="F506" t="s">
        <v>83</v>
      </c>
      <c r="G506" t="s">
        <v>84</v>
      </c>
    </row>
    <row r="507" spans="1:7" x14ac:dyDescent="0.35">
      <c r="A507" t="s">
        <v>4</v>
      </c>
    </row>
    <row r="508" spans="1:7" x14ac:dyDescent="0.35">
      <c r="A508" t="s">
        <v>96</v>
      </c>
      <c r="B508" t="s">
        <v>18</v>
      </c>
    </row>
    <row r="509" spans="1:7" x14ac:dyDescent="0.35">
      <c r="A509" t="s">
        <v>50</v>
      </c>
      <c r="B509" t="s">
        <v>51</v>
      </c>
      <c r="C509" t="s">
        <v>52</v>
      </c>
      <c r="D509" t="s">
        <v>63</v>
      </c>
    </row>
    <row r="510" spans="1:7" x14ac:dyDescent="0.35">
      <c r="A510" t="s">
        <v>50</v>
      </c>
      <c r="B510" t="s">
        <v>51</v>
      </c>
      <c r="C510" t="s">
        <v>52</v>
      </c>
      <c r="D510" t="s">
        <v>92</v>
      </c>
    </row>
    <row r="511" spans="1:7" x14ac:dyDescent="0.35">
      <c r="A511" t="s">
        <v>50</v>
      </c>
      <c r="B511" t="s">
        <v>51</v>
      </c>
      <c r="C511" t="s">
        <v>52</v>
      </c>
      <c r="D511" t="s">
        <v>72</v>
      </c>
      <c r="E511" t="s">
        <v>73</v>
      </c>
    </row>
    <row r="512" spans="1:7" x14ac:dyDescent="0.35">
      <c r="A512" t="s">
        <v>56</v>
      </c>
      <c r="B512" t="s">
        <v>57</v>
      </c>
    </row>
    <row r="513" spans="1:7" x14ac:dyDescent="0.35">
      <c r="A513" t="s">
        <v>50</v>
      </c>
      <c r="B513" t="s">
        <v>51</v>
      </c>
      <c r="C513" t="s">
        <v>52</v>
      </c>
      <c r="D513" t="s">
        <v>63</v>
      </c>
    </row>
    <row r="514" spans="1:7" x14ac:dyDescent="0.35">
      <c r="A514" t="s">
        <v>93</v>
      </c>
      <c r="B514" t="s">
        <v>50</v>
      </c>
      <c r="C514" t="s">
        <v>51</v>
      </c>
      <c r="D514" t="s">
        <v>52</v>
      </c>
      <c r="E514" t="s">
        <v>94</v>
      </c>
      <c r="F514" t="s">
        <v>77</v>
      </c>
      <c r="G514" t="s">
        <v>95</v>
      </c>
    </row>
    <row r="515" spans="1:7" x14ac:dyDescent="0.35">
      <c r="A515" t="s">
        <v>50</v>
      </c>
      <c r="B515" t="s">
        <v>51</v>
      </c>
      <c r="C515" t="s">
        <v>52</v>
      </c>
      <c r="D515" t="s">
        <v>80</v>
      </c>
    </row>
    <row r="516" spans="1:7" x14ac:dyDescent="0.35">
      <c r="A516" t="s">
        <v>93</v>
      </c>
      <c r="B516" t="s">
        <v>50</v>
      </c>
      <c r="C516" t="s">
        <v>51</v>
      </c>
      <c r="D516" t="s">
        <v>52</v>
      </c>
      <c r="E516" t="s">
        <v>94</v>
      </c>
      <c r="F516" t="s">
        <v>77</v>
      </c>
      <c r="G516" t="s">
        <v>95</v>
      </c>
    </row>
    <row r="517" spans="1:7" x14ac:dyDescent="0.35">
      <c r="A517" t="s">
        <v>108</v>
      </c>
      <c r="B517" t="s">
        <v>11</v>
      </c>
    </row>
    <row r="518" spans="1:7" x14ac:dyDescent="0.35">
      <c r="A518" t="s">
        <v>50</v>
      </c>
      <c r="B518" t="s">
        <v>51</v>
      </c>
      <c r="C518" t="s">
        <v>52</v>
      </c>
      <c r="D518" t="s">
        <v>72</v>
      </c>
      <c r="E518" t="s">
        <v>73</v>
      </c>
    </row>
    <row r="519" spans="1:7" x14ac:dyDescent="0.35">
      <c r="A519" t="s">
        <v>8</v>
      </c>
    </row>
    <row r="520" spans="1:7" x14ac:dyDescent="0.35">
      <c r="A520" t="s">
        <v>115</v>
      </c>
      <c r="B520" t="s">
        <v>11</v>
      </c>
    </row>
    <row r="521" spans="1:7" x14ac:dyDescent="0.35">
      <c r="A521" t="s">
        <v>8</v>
      </c>
    </row>
    <row r="522" spans="1:7" x14ac:dyDescent="0.35">
      <c r="A522" t="s">
        <v>96</v>
      </c>
      <c r="B522" t="s">
        <v>18</v>
      </c>
    </row>
    <row r="523" spans="1:7" x14ac:dyDescent="0.35">
      <c r="A523" t="s">
        <v>4</v>
      </c>
    </row>
    <row r="524" spans="1:7" x14ac:dyDescent="0.35">
      <c r="A524" t="s">
        <v>6</v>
      </c>
    </row>
    <row r="525" spans="1:7" x14ac:dyDescent="0.35">
      <c r="A525" t="s">
        <v>50</v>
      </c>
      <c r="B525" t="s">
        <v>51</v>
      </c>
      <c r="C525" t="s">
        <v>82</v>
      </c>
      <c r="D525" t="s">
        <v>52</v>
      </c>
      <c r="E525" t="s">
        <v>77</v>
      </c>
      <c r="F525" t="s">
        <v>83</v>
      </c>
      <c r="G525" t="s">
        <v>84</v>
      </c>
    </row>
    <row r="526" spans="1:7" x14ac:dyDescent="0.35">
      <c r="A526" t="s">
        <v>50</v>
      </c>
      <c r="B526" t="s">
        <v>51</v>
      </c>
      <c r="C526" t="s">
        <v>52</v>
      </c>
      <c r="D526" t="s">
        <v>92</v>
      </c>
    </row>
    <row r="527" spans="1:7" x14ac:dyDescent="0.35">
      <c r="A527" t="s">
        <v>3</v>
      </c>
    </row>
    <row r="528" spans="1:7" x14ac:dyDescent="0.35">
      <c r="A528" t="s">
        <v>64</v>
      </c>
      <c r="B528" t="s">
        <v>65</v>
      </c>
      <c r="C528" t="s">
        <v>66</v>
      </c>
      <c r="D528" t="s">
        <v>18</v>
      </c>
      <c r="E528" t="s">
        <v>129</v>
      </c>
      <c r="F528" t="s">
        <v>67</v>
      </c>
      <c r="G528" t="s">
        <v>68</v>
      </c>
    </row>
    <row r="529" spans="1:7" x14ac:dyDescent="0.35">
      <c r="A529" t="s">
        <v>50</v>
      </c>
      <c r="B529" t="s">
        <v>51</v>
      </c>
      <c r="C529" t="s">
        <v>52</v>
      </c>
    </row>
    <row r="530" spans="1:7" x14ac:dyDescent="0.35">
      <c r="A530" t="s">
        <v>50</v>
      </c>
      <c r="B530" t="s">
        <v>51</v>
      </c>
      <c r="C530" t="s">
        <v>52</v>
      </c>
    </row>
    <row r="531" spans="1:7" x14ac:dyDescent="0.35">
      <c r="A531" t="s">
        <v>81</v>
      </c>
      <c r="B531" t="s">
        <v>11</v>
      </c>
    </row>
    <row r="532" spans="1:7" x14ac:dyDescent="0.35">
      <c r="A532" t="s">
        <v>64</v>
      </c>
      <c r="B532" t="s">
        <v>65</v>
      </c>
      <c r="C532" t="s">
        <v>66</v>
      </c>
      <c r="D532" t="s">
        <v>18</v>
      </c>
      <c r="E532" t="s">
        <v>67</v>
      </c>
      <c r="F532" t="s">
        <v>68</v>
      </c>
    </row>
    <row r="533" spans="1:7" x14ac:dyDescent="0.35">
      <c r="A533" t="s">
        <v>81</v>
      </c>
      <c r="B533" t="s">
        <v>11</v>
      </c>
    </row>
    <row r="534" spans="1:7" x14ac:dyDescent="0.35">
      <c r="A534" t="s">
        <v>50</v>
      </c>
      <c r="B534" t="s">
        <v>51</v>
      </c>
      <c r="C534" t="s">
        <v>52</v>
      </c>
      <c r="D534" t="s">
        <v>63</v>
      </c>
    </row>
    <row r="535" spans="1:7" x14ac:dyDescent="0.35">
      <c r="A535" t="s">
        <v>50</v>
      </c>
      <c r="B535" t="s">
        <v>51</v>
      </c>
      <c r="C535" t="s">
        <v>52</v>
      </c>
    </row>
    <row r="536" spans="1:7" x14ac:dyDescent="0.35">
      <c r="A536" t="s">
        <v>109</v>
      </c>
      <c r="B536" t="s">
        <v>110</v>
      </c>
      <c r="C536" t="s">
        <v>111</v>
      </c>
    </row>
    <row r="537" spans="1:7" x14ac:dyDescent="0.35">
      <c r="A537" t="s">
        <v>50</v>
      </c>
      <c r="B537" t="s">
        <v>51</v>
      </c>
      <c r="C537" t="s">
        <v>52</v>
      </c>
      <c r="D537" t="s">
        <v>61</v>
      </c>
    </row>
    <row r="538" spans="1:7" x14ac:dyDescent="0.35">
      <c r="A538" t="s">
        <v>50</v>
      </c>
      <c r="B538" t="s">
        <v>51</v>
      </c>
      <c r="C538" t="s">
        <v>52</v>
      </c>
      <c r="D538" t="s">
        <v>63</v>
      </c>
    </row>
    <row r="539" spans="1:7" x14ac:dyDescent="0.35">
      <c r="A539" t="s">
        <v>18</v>
      </c>
      <c r="B539" t="s">
        <v>130</v>
      </c>
    </row>
    <row r="540" spans="1:7" x14ac:dyDescent="0.35">
      <c r="A540" t="s">
        <v>6</v>
      </c>
    </row>
    <row r="541" spans="1:7" x14ac:dyDescent="0.35">
      <c r="A541" t="s">
        <v>7</v>
      </c>
    </row>
    <row r="542" spans="1:7" x14ac:dyDescent="0.35">
      <c r="A542" t="s">
        <v>11</v>
      </c>
    </row>
    <row r="543" spans="1:7" x14ac:dyDescent="0.35">
      <c r="A543" t="s">
        <v>50</v>
      </c>
      <c r="B543" t="s">
        <v>51</v>
      </c>
      <c r="C543" t="s">
        <v>52</v>
      </c>
      <c r="D543" t="s">
        <v>63</v>
      </c>
    </row>
    <row r="544" spans="1:7" x14ac:dyDescent="0.35">
      <c r="A544" t="s">
        <v>93</v>
      </c>
      <c r="B544" t="s">
        <v>50</v>
      </c>
      <c r="C544" t="s">
        <v>51</v>
      </c>
      <c r="D544" t="s">
        <v>52</v>
      </c>
      <c r="E544" t="s">
        <v>94</v>
      </c>
      <c r="F544" t="s">
        <v>77</v>
      </c>
      <c r="G544" t="s">
        <v>95</v>
      </c>
    </row>
    <row r="545" spans="1:6" x14ac:dyDescent="0.35">
      <c r="A545" t="s">
        <v>1</v>
      </c>
      <c r="B545" t="s">
        <v>87</v>
      </c>
      <c r="C545" t="s">
        <v>131</v>
      </c>
    </row>
    <row r="546" spans="1:6" x14ac:dyDescent="0.35">
      <c r="A546" t="s">
        <v>3</v>
      </c>
    </row>
    <row r="547" spans="1:6" x14ac:dyDescent="0.35">
      <c r="A547" t="s">
        <v>5</v>
      </c>
    </row>
    <row r="548" spans="1:6" x14ac:dyDescent="0.35">
      <c r="A548" t="s">
        <v>50</v>
      </c>
      <c r="B548" t="s">
        <v>51</v>
      </c>
      <c r="C548" t="s">
        <v>52</v>
      </c>
    </row>
    <row r="549" spans="1:6" x14ac:dyDescent="0.35">
      <c r="A549" t="s">
        <v>17</v>
      </c>
    </row>
    <row r="550" spans="1:6" x14ac:dyDescent="0.35">
      <c r="A550" t="s">
        <v>12</v>
      </c>
    </row>
    <row r="551" spans="1:6" x14ac:dyDescent="0.35">
      <c r="A551" t="s">
        <v>3</v>
      </c>
    </row>
    <row r="552" spans="1:6" x14ac:dyDescent="0.35">
      <c r="A552" t="s">
        <v>81</v>
      </c>
      <c r="B552" t="s">
        <v>11</v>
      </c>
    </row>
    <row r="553" spans="1:6" x14ac:dyDescent="0.35">
      <c r="A553" t="s">
        <v>50</v>
      </c>
      <c r="B553" t="s">
        <v>51</v>
      </c>
      <c r="C553" t="s">
        <v>52</v>
      </c>
      <c r="D553" t="s">
        <v>60</v>
      </c>
      <c r="E553" t="s">
        <v>118</v>
      </c>
      <c r="F553" t="s">
        <v>61</v>
      </c>
    </row>
    <row r="554" spans="1:6" x14ac:dyDescent="0.35">
      <c r="A554" t="s">
        <v>50</v>
      </c>
      <c r="B554" t="s">
        <v>51</v>
      </c>
      <c r="C554" t="s">
        <v>52</v>
      </c>
      <c r="D554" t="s">
        <v>85</v>
      </c>
    </row>
    <row r="555" spans="1:6" x14ac:dyDescent="0.35">
      <c r="A555" t="s">
        <v>50</v>
      </c>
      <c r="B555" t="s">
        <v>51</v>
      </c>
      <c r="C555" t="s">
        <v>52</v>
      </c>
      <c r="D555" t="s">
        <v>77</v>
      </c>
      <c r="E555" t="s">
        <v>83</v>
      </c>
      <c r="F555" t="s">
        <v>84</v>
      </c>
    </row>
    <row r="556" spans="1:6" x14ac:dyDescent="0.35">
      <c r="A556" t="s">
        <v>50</v>
      </c>
      <c r="B556" t="s">
        <v>70</v>
      </c>
      <c r="C556" t="s">
        <v>51</v>
      </c>
      <c r="D556" t="s">
        <v>52</v>
      </c>
      <c r="E556" t="s">
        <v>63</v>
      </c>
      <c r="F556" t="s">
        <v>71</v>
      </c>
    </row>
    <row r="557" spans="1:6" x14ac:dyDescent="0.35">
      <c r="A557" t="s">
        <v>50</v>
      </c>
      <c r="B557" t="s">
        <v>51</v>
      </c>
      <c r="C557" t="s">
        <v>52</v>
      </c>
    </row>
    <row r="558" spans="1:6" x14ac:dyDescent="0.35">
      <c r="A558" t="s">
        <v>11</v>
      </c>
    </row>
    <row r="559" spans="1:6" x14ac:dyDescent="0.35">
      <c r="A559" t="s">
        <v>10</v>
      </c>
    </row>
    <row r="560" spans="1:6" x14ac:dyDescent="0.35">
      <c r="A560" t="s">
        <v>64</v>
      </c>
      <c r="B560" t="s">
        <v>18</v>
      </c>
    </row>
    <row r="561" spans="1:6" x14ac:dyDescent="0.35">
      <c r="A561" t="s">
        <v>50</v>
      </c>
      <c r="B561" t="s">
        <v>51</v>
      </c>
      <c r="C561" t="s">
        <v>52</v>
      </c>
    </row>
    <row r="562" spans="1:6" x14ac:dyDescent="0.35">
      <c r="A562" t="s">
        <v>56</v>
      </c>
      <c r="B562" t="s">
        <v>57</v>
      </c>
      <c r="C562" t="s">
        <v>132</v>
      </c>
    </row>
    <row r="563" spans="1:6" x14ac:dyDescent="0.35">
      <c r="A563" t="s">
        <v>50</v>
      </c>
      <c r="B563" t="s">
        <v>51</v>
      </c>
      <c r="C563" t="s">
        <v>52</v>
      </c>
      <c r="D563" t="s">
        <v>63</v>
      </c>
    </row>
    <row r="564" spans="1:6" x14ac:dyDescent="0.35">
      <c r="A564" t="s">
        <v>50</v>
      </c>
      <c r="B564" t="s">
        <v>51</v>
      </c>
      <c r="C564" t="s">
        <v>52</v>
      </c>
    </row>
    <row r="565" spans="1:6" x14ac:dyDescent="0.35">
      <c r="A565" t="s">
        <v>96</v>
      </c>
      <c r="B565" t="s">
        <v>66</v>
      </c>
      <c r="C565" t="s">
        <v>18</v>
      </c>
      <c r="D565" t="s">
        <v>67</v>
      </c>
      <c r="E565" t="s">
        <v>68</v>
      </c>
    </row>
    <row r="566" spans="1:6" x14ac:dyDescent="0.35">
      <c r="A566" t="s">
        <v>13</v>
      </c>
    </row>
    <row r="567" spans="1:6" x14ac:dyDescent="0.35">
      <c r="A567" t="s">
        <v>4</v>
      </c>
    </row>
    <row r="568" spans="1:6" x14ac:dyDescent="0.35">
      <c r="A568" t="s">
        <v>5</v>
      </c>
    </row>
    <row r="569" spans="1:6" x14ac:dyDescent="0.35">
      <c r="A569" t="s">
        <v>1</v>
      </c>
      <c r="B569" t="s">
        <v>87</v>
      </c>
      <c r="C569" t="s">
        <v>133</v>
      </c>
    </row>
    <row r="570" spans="1:6" x14ac:dyDescent="0.35">
      <c r="A570" t="s">
        <v>1</v>
      </c>
    </row>
    <row r="571" spans="1:6" x14ac:dyDescent="0.35">
      <c r="A571" t="s">
        <v>17</v>
      </c>
    </row>
    <row r="572" spans="1:6" x14ac:dyDescent="0.35">
      <c r="A572" t="s">
        <v>12</v>
      </c>
    </row>
    <row r="573" spans="1:6" x14ac:dyDescent="0.35">
      <c r="A573" t="s">
        <v>81</v>
      </c>
      <c r="B573" t="s">
        <v>11</v>
      </c>
    </row>
    <row r="574" spans="1:6" x14ac:dyDescent="0.35">
      <c r="A574" t="s">
        <v>11</v>
      </c>
      <c r="B574" t="s">
        <v>107</v>
      </c>
    </row>
    <row r="575" spans="1:6" x14ac:dyDescent="0.35">
      <c r="A575" t="s">
        <v>50</v>
      </c>
      <c r="B575" t="s">
        <v>51</v>
      </c>
      <c r="C575" t="s">
        <v>52</v>
      </c>
      <c r="D575" t="s">
        <v>72</v>
      </c>
      <c r="E575" t="s">
        <v>73</v>
      </c>
      <c r="F575" t="s">
        <v>113</v>
      </c>
    </row>
    <row r="576" spans="1:6" x14ac:dyDescent="0.35">
      <c r="A576" t="s">
        <v>66</v>
      </c>
      <c r="B576" t="s">
        <v>67</v>
      </c>
      <c r="C576" t="s">
        <v>68</v>
      </c>
    </row>
    <row r="577" spans="1:7" x14ac:dyDescent="0.35">
      <c r="A577" t="s">
        <v>50</v>
      </c>
      <c r="B577" t="s">
        <v>51</v>
      </c>
      <c r="C577" t="s">
        <v>52</v>
      </c>
    </row>
    <row r="578" spans="1:7" x14ac:dyDescent="0.35">
      <c r="A578" t="s">
        <v>50</v>
      </c>
      <c r="B578" t="s">
        <v>51</v>
      </c>
      <c r="C578" t="s">
        <v>52</v>
      </c>
      <c r="D578" t="s">
        <v>89</v>
      </c>
      <c r="E578" t="s">
        <v>72</v>
      </c>
      <c r="F578" t="s">
        <v>73</v>
      </c>
    </row>
    <row r="579" spans="1:7" x14ac:dyDescent="0.35">
      <c r="A579" t="s">
        <v>50</v>
      </c>
      <c r="B579" t="s">
        <v>51</v>
      </c>
      <c r="C579" t="s">
        <v>52</v>
      </c>
    </row>
    <row r="580" spans="1:7" x14ac:dyDescent="0.35">
      <c r="A580" t="s">
        <v>56</v>
      </c>
      <c r="B580" t="s">
        <v>57</v>
      </c>
    </row>
    <row r="581" spans="1:7" x14ac:dyDescent="0.35">
      <c r="A581" t="s">
        <v>1</v>
      </c>
      <c r="B581" t="s">
        <v>134</v>
      </c>
    </row>
    <row r="582" spans="1:7" x14ac:dyDescent="0.35">
      <c r="A582" t="s">
        <v>1</v>
      </c>
    </row>
    <row r="583" spans="1:7" x14ac:dyDescent="0.35">
      <c r="A583" t="s">
        <v>81</v>
      </c>
      <c r="B583" t="s">
        <v>11</v>
      </c>
    </row>
    <row r="584" spans="1:7" x14ac:dyDescent="0.35">
      <c r="A584" t="s">
        <v>50</v>
      </c>
      <c r="B584" t="s">
        <v>51</v>
      </c>
      <c r="C584" t="s">
        <v>52</v>
      </c>
      <c r="D584" t="s">
        <v>63</v>
      </c>
    </row>
    <row r="585" spans="1:7" x14ac:dyDescent="0.35">
      <c r="A585" t="s">
        <v>1</v>
      </c>
      <c r="B585" t="s">
        <v>135</v>
      </c>
    </row>
    <row r="586" spans="1:7" x14ac:dyDescent="0.35">
      <c r="A586" t="s">
        <v>50</v>
      </c>
      <c r="B586" t="s">
        <v>51</v>
      </c>
      <c r="C586" t="s">
        <v>52</v>
      </c>
    </row>
    <row r="587" spans="1:7" x14ac:dyDescent="0.35">
      <c r="A587" t="s">
        <v>17</v>
      </c>
    </row>
    <row r="588" spans="1:7" x14ac:dyDescent="0.35">
      <c r="A588" t="s">
        <v>50</v>
      </c>
      <c r="B588" t="s">
        <v>51</v>
      </c>
      <c r="C588" t="s">
        <v>82</v>
      </c>
      <c r="D588" t="s">
        <v>52</v>
      </c>
      <c r="E588" t="s">
        <v>77</v>
      </c>
      <c r="F588" t="s">
        <v>83</v>
      </c>
      <c r="G588" t="s">
        <v>84</v>
      </c>
    </row>
    <row r="589" spans="1:7" x14ac:dyDescent="0.35">
      <c r="A589" t="s">
        <v>50</v>
      </c>
      <c r="B589" t="s">
        <v>51</v>
      </c>
      <c r="C589" t="s">
        <v>52</v>
      </c>
      <c r="D589" t="s">
        <v>60</v>
      </c>
      <c r="E589" t="s">
        <v>118</v>
      </c>
      <c r="F589" t="s">
        <v>61</v>
      </c>
    </row>
    <row r="590" spans="1:7" x14ac:dyDescent="0.35">
      <c r="A590" t="s">
        <v>96</v>
      </c>
      <c r="B590" t="s">
        <v>18</v>
      </c>
    </row>
    <row r="591" spans="1:7" x14ac:dyDescent="0.35">
      <c r="A591" t="s">
        <v>56</v>
      </c>
      <c r="B591" t="s">
        <v>57</v>
      </c>
    </row>
    <row r="592" spans="1:7" x14ac:dyDescent="0.35">
      <c r="A592" t="s">
        <v>50</v>
      </c>
      <c r="B592" t="s">
        <v>51</v>
      </c>
      <c r="C592" t="s">
        <v>52</v>
      </c>
      <c r="D592" t="s">
        <v>63</v>
      </c>
    </row>
    <row r="593" spans="1:7" x14ac:dyDescent="0.35">
      <c r="A593" t="s">
        <v>81</v>
      </c>
      <c r="B593" t="s">
        <v>11</v>
      </c>
    </row>
    <row r="594" spans="1:7" x14ac:dyDescent="0.35">
      <c r="A594" t="s">
        <v>50</v>
      </c>
      <c r="B594" t="s">
        <v>51</v>
      </c>
      <c r="C594" t="s">
        <v>52</v>
      </c>
    </row>
    <row r="595" spans="1:7" x14ac:dyDescent="0.35">
      <c r="A595" t="s">
        <v>20</v>
      </c>
    </row>
    <row r="596" spans="1:7" x14ac:dyDescent="0.35">
      <c r="A596" t="s">
        <v>50</v>
      </c>
      <c r="B596" t="s">
        <v>51</v>
      </c>
      <c r="C596" t="s">
        <v>52</v>
      </c>
    </row>
    <row r="597" spans="1:7" x14ac:dyDescent="0.35">
      <c r="A597" t="s">
        <v>16</v>
      </c>
      <c r="B597" t="s">
        <v>8</v>
      </c>
    </row>
    <row r="598" spans="1:7" x14ac:dyDescent="0.35">
      <c r="A598" t="s">
        <v>7</v>
      </c>
    </row>
    <row r="599" spans="1:7" x14ac:dyDescent="0.35">
      <c r="A599" t="s">
        <v>3</v>
      </c>
    </row>
    <row r="600" spans="1:7" x14ac:dyDescent="0.35">
      <c r="A600" t="s">
        <v>64</v>
      </c>
      <c r="B600" t="s">
        <v>65</v>
      </c>
      <c r="C600" t="s">
        <v>66</v>
      </c>
      <c r="D600" t="s">
        <v>18</v>
      </c>
      <c r="E600" t="s">
        <v>67</v>
      </c>
      <c r="F600" t="s">
        <v>68</v>
      </c>
    </row>
    <row r="601" spans="1:7" x14ac:dyDescent="0.35">
      <c r="A601" t="s">
        <v>11</v>
      </c>
    </row>
    <row r="602" spans="1:7" x14ac:dyDescent="0.35">
      <c r="A602" t="s">
        <v>56</v>
      </c>
      <c r="B602" t="s">
        <v>57</v>
      </c>
    </row>
    <row r="603" spans="1:7" x14ac:dyDescent="0.35">
      <c r="A603" t="s">
        <v>93</v>
      </c>
      <c r="B603" t="s">
        <v>50</v>
      </c>
      <c r="C603" t="s">
        <v>51</v>
      </c>
      <c r="D603" t="s">
        <v>52</v>
      </c>
      <c r="E603" t="s">
        <v>94</v>
      </c>
      <c r="F603" t="s">
        <v>77</v>
      </c>
      <c r="G603" t="s">
        <v>95</v>
      </c>
    </row>
    <row r="604" spans="1:7" x14ac:dyDescent="0.35">
      <c r="A604" t="s">
        <v>5</v>
      </c>
    </row>
    <row r="605" spans="1:7" x14ac:dyDescent="0.35">
      <c r="A605" t="s">
        <v>12</v>
      </c>
    </row>
    <row r="606" spans="1:7" x14ac:dyDescent="0.35">
      <c r="A606" t="s">
        <v>10</v>
      </c>
    </row>
    <row r="607" spans="1:7" x14ac:dyDescent="0.35">
      <c r="A607" t="s">
        <v>10</v>
      </c>
    </row>
    <row r="608" spans="1:7" x14ac:dyDescent="0.35">
      <c r="A608" t="s">
        <v>50</v>
      </c>
      <c r="B608" t="s">
        <v>51</v>
      </c>
      <c r="C608" t="s">
        <v>52</v>
      </c>
      <c r="D608" t="s">
        <v>98</v>
      </c>
    </row>
    <row r="609" spans="1:7" x14ac:dyDescent="0.35">
      <c r="A609" t="s">
        <v>50</v>
      </c>
      <c r="B609" t="s">
        <v>51</v>
      </c>
      <c r="C609" t="s">
        <v>52</v>
      </c>
      <c r="D609" t="s">
        <v>74</v>
      </c>
      <c r="E609" t="s">
        <v>75</v>
      </c>
    </row>
    <row r="610" spans="1:7" x14ac:dyDescent="0.35">
      <c r="A610" t="s">
        <v>8</v>
      </c>
    </row>
    <row r="611" spans="1:7" x14ac:dyDescent="0.35">
      <c r="A611" t="s">
        <v>115</v>
      </c>
      <c r="B611" t="s">
        <v>11</v>
      </c>
    </row>
    <row r="612" spans="1:7" x14ac:dyDescent="0.35">
      <c r="A612" t="s">
        <v>1</v>
      </c>
    </row>
    <row r="613" spans="1:7" x14ac:dyDescent="0.35">
      <c r="A613" t="s">
        <v>1</v>
      </c>
    </row>
    <row r="614" spans="1:7" x14ac:dyDescent="0.35">
      <c r="A614" t="s">
        <v>1</v>
      </c>
    </row>
    <row r="615" spans="1:7" x14ac:dyDescent="0.35">
      <c r="A615" t="s">
        <v>2</v>
      </c>
    </row>
    <row r="616" spans="1:7" x14ac:dyDescent="0.35">
      <c r="A616" t="s">
        <v>3</v>
      </c>
    </row>
    <row r="617" spans="1:7" x14ac:dyDescent="0.35">
      <c r="A617" t="s">
        <v>93</v>
      </c>
      <c r="B617" t="s">
        <v>50</v>
      </c>
      <c r="C617" t="s">
        <v>51</v>
      </c>
      <c r="D617" t="s">
        <v>52</v>
      </c>
      <c r="E617" t="s">
        <v>94</v>
      </c>
      <c r="F617" t="s">
        <v>77</v>
      </c>
      <c r="G617" t="s">
        <v>95</v>
      </c>
    </row>
    <row r="618" spans="1:7" x14ac:dyDescent="0.35">
      <c r="A618" t="s">
        <v>7</v>
      </c>
    </row>
    <row r="619" spans="1:7" x14ac:dyDescent="0.35">
      <c r="A619" t="s">
        <v>50</v>
      </c>
      <c r="B619" t="s">
        <v>51</v>
      </c>
      <c r="C619" t="s">
        <v>52</v>
      </c>
    </row>
    <row r="620" spans="1:7" x14ac:dyDescent="0.35">
      <c r="A620" t="s">
        <v>109</v>
      </c>
      <c r="B620" t="s">
        <v>110</v>
      </c>
      <c r="C620" t="s">
        <v>111</v>
      </c>
    </row>
    <row r="621" spans="1:7" x14ac:dyDescent="0.35">
      <c r="A621" t="s">
        <v>50</v>
      </c>
      <c r="B621" t="s">
        <v>51</v>
      </c>
      <c r="C621" t="s">
        <v>52</v>
      </c>
      <c r="D621" t="s">
        <v>98</v>
      </c>
    </row>
    <row r="622" spans="1:7" x14ac:dyDescent="0.35">
      <c r="A622" t="s">
        <v>50</v>
      </c>
      <c r="B622" t="s">
        <v>51</v>
      </c>
      <c r="C622" t="s">
        <v>52</v>
      </c>
      <c r="D622" t="s">
        <v>136</v>
      </c>
    </row>
    <row r="623" spans="1:7" x14ac:dyDescent="0.35">
      <c r="A623" t="s">
        <v>50</v>
      </c>
      <c r="B623" t="s">
        <v>51</v>
      </c>
      <c r="C623" t="s">
        <v>52</v>
      </c>
      <c r="D623" t="s">
        <v>92</v>
      </c>
    </row>
    <row r="624" spans="1:7" x14ac:dyDescent="0.35">
      <c r="A624" t="s">
        <v>50</v>
      </c>
      <c r="B624" t="s">
        <v>51</v>
      </c>
      <c r="C624" t="s">
        <v>82</v>
      </c>
      <c r="D624" t="s">
        <v>52</v>
      </c>
      <c r="E624" t="s">
        <v>77</v>
      </c>
      <c r="F624" t="s">
        <v>83</v>
      </c>
      <c r="G624" t="s">
        <v>84</v>
      </c>
    </row>
    <row r="625" spans="1:7" x14ac:dyDescent="0.35">
      <c r="A625" t="s">
        <v>50</v>
      </c>
      <c r="B625" t="s">
        <v>51</v>
      </c>
      <c r="C625" t="s">
        <v>52</v>
      </c>
      <c r="D625" t="s">
        <v>72</v>
      </c>
      <c r="E625" t="s">
        <v>73</v>
      </c>
    </row>
    <row r="626" spans="1:7" x14ac:dyDescent="0.35">
      <c r="A626" t="s">
        <v>108</v>
      </c>
      <c r="B626" t="s">
        <v>11</v>
      </c>
    </row>
    <row r="627" spans="1:7" x14ac:dyDescent="0.35">
      <c r="A627" t="s">
        <v>96</v>
      </c>
      <c r="B627" t="s">
        <v>18</v>
      </c>
    </row>
    <row r="628" spans="1:7" x14ac:dyDescent="0.35">
      <c r="A628" t="s">
        <v>8</v>
      </c>
    </row>
    <row r="629" spans="1:7" x14ac:dyDescent="0.35">
      <c r="A629" t="s">
        <v>17</v>
      </c>
    </row>
    <row r="630" spans="1:7" x14ac:dyDescent="0.35">
      <c r="A630" t="s">
        <v>10</v>
      </c>
    </row>
    <row r="631" spans="1:7" x14ac:dyDescent="0.35">
      <c r="A631" t="s">
        <v>50</v>
      </c>
      <c r="B631" t="s">
        <v>51</v>
      </c>
      <c r="C631" t="s">
        <v>52</v>
      </c>
      <c r="D631" t="s">
        <v>77</v>
      </c>
      <c r="E631" t="s">
        <v>83</v>
      </c>
      <c r="F631" t="s">
        <v>84</v>
      </c>
    </row>
    <row r="632" spans="1:7" x14ac:dyDescent="0.35">
      <c r="A632" t="s">
        <v>50</v>
      </c>
      <c r="B632" t="s">
        <v>51</v>
      </c>
      <c r="C632" t="s">
        <v>52</v>
      </c>
      <c r="D632" t="s">
        <v>63</v>
      </c>
    </row>
    <row r="633" spans="1:7" x14ac:dyDescent="0.35">
      <c r="A633" t="s">
        <v>50</v>
      </c>
      <c r="B633" t="s">
        <v>70</v>
      </c>
      <c r="C633" t="s">
        <v>51</v>
      </c>
      <c r="D633" t="s">
        <v>52</v>
      </c>
      <c r="E633" t="s">
        <v>63</v>
      </c>
      <c r="F633" t="s">
        <v>71</v>
      </c>
    </row>
    <row r="634" spans="1:7" x14ac:dyDescent="0.35">
      <c r="A634" t="s">
        <v>14</v>
      </c>
    </row>
    <row r="635" spans="1:7" x14ac:dyDescent="0.35">
      <c r="A635" t="s">
        <v>81</v>
      </c>
      <c r="B635" t="s">
        <v>11</v>
      </c>
    </row>
    <row r="636" spans="1:7" x14ac:dyDescent="0.35">
      <c r="A636" t="s">
        <v>93</v>
      </c>
      <c r="B636" t="s">
        <v>50</v>
      </c>
      <c r="C636" t="s">
        <v>51</v>
      </c>
      <c r="D636" t="s">
        <v>52</v>
      </c>
      <c r="E636" t="s">
        <v>94</v>
      </c>
      <c r="F636" t="s">
        <v>77</v>
      </c>
      <c r="G636" t="s">
        <v>95</v>
      </c>
    </row>
    <row r="637" spans="1:7" x14ac:dyDescent="0.35">
      <c r="A637" t="s">
        <v>64</v>
      </c>
      <c r="B637" t="s">
        <v>65</v>
      </c>
      <c r="C637" t="s">
        <v>66</v>
      </c>
      <c r="D637" t="s">
        <v>18</v>
      </c>
      <c r="E637" t="s">
        <v>67</v>
      </c>
      <c r="F637" t="s">
        <v>68</v>
      </c>
    </row>
    <row r="638" spans="1:7" x14ac:dyDescent="0.35">
      <c r="A638" t="s">
        <v>17</v>
      </c>
    </row>
    <row r="639" spans="1:7" x14ac:dyDescent="0.35">
      <c r="A639" t="s">
        <v>11</v>
      </c>
    </row>
    <row r="640" spans="1:7" x14ac:dyDescent="0.35">
      <c r="A640" t="s">
        <v>3</v>
      </c>
    </row>
    <row r="641" spans="1:6" x14ac:dyDescent="0.35">
      <c r="A641" t="s">
        <v>7</v>
      </c>
    </row>
    <row r="642" spans="1:6" x14ac:dyDescent="0.35">
      <c r="A642" t="s">
        <v>50</v>
      </c>
      <c r="B642" t="s">
        <v>51</v>
      </c>
      <c r="C642" t="s">
        <v>52</v>
      </c>
    </row>
    <row r="643" spans="1:6" x14ac:dyDescent="0.35">
      <c r="A643" t="s">
        <v>1</v>
      </c>
      <c r="B643" t="s">
        <v>87</v>
      </c>
      <c r="C643" t="s">
        <v>120</v>
      </c>
    </row>
    <row r="644" spans="1:6" x14ac:dyDescent="0.35">
      <c r="A644" t="s">
        <v>50</v>
      </c>
      <c r="B644" t="s">
        <v>51</v>
      </c>
      <c r="C644" t="s">
        <v>52</v>
      </c>
      <c r="D644" t="s">
        <v>72</v>
      </c>
      <c r="E644" t="s">
        <v>73</v>
      </c>
      <c r="F644" t="s">
        <v>113</v>
      </c>
    </row>
    <row r="645" spans="1:6" x14ac:dyDescent="0.35">
      <c r="A645" t="s">
        <v>100</v>
      </c>
      <c r="B645" t="s">
        <v>101</v>
      </c>
      <c r="C645" t="s">
        <v>102</v>
      </c>
    </row>
    <row r="646" spans="1:6" x14ac:dyDescent="0.35">
      <c r="A646" t="s">
        <v>50</v>
      </c>
      <c r="B646" t="s">
        <v>51</v>
      </c>
      <c r="C646" t="s">
        <v>52</v>
      </c>
      <c r="D646" t="s">
        <v>63</v>
      </c>
    </row>
    <row r="647" spans="1:6" x14ac:dyDescent="0.35">
      <c r="A647" t="s">
        <v>1</v>
      </c>
    </row>
    <row r="648" spans="1:6" x14ac:dyDescent="0.35">
      <c r="A648" t="s">
        <v>64</v>
      </c>
      <c r="B648" t="s">
        <v>65</v>
      </c>
      <c r="C648" t="s">
        <v>66</v>
      </c>
      <c r="D648" t="s">
        <v>18</v>
      </c>
      <c r="E648" t="s">
        <v>67</v>
      </c>
      <c r="F648" t="s">
        <v>68</v>
      </c>
    </row>
    <row r="649" spans="1:6" x14ac:dyDescent="0.35">
      <c r="A649" t="s">
        <v>50</v>
      </c>
      <c r="B649" t="s">
        <v>51</v>
      </c>
      <c r="C649" t="s">
        <v>52</v>
      </c>
      <c r="D649" t="s">
        <v>60</v>
      </c>
      <c r="E649" t="s">
        <v>103</v>
      </c>
      <c r="F649" t="s">
        <v>61</v>
      </c>
    </row>
    <row r="650" spans="1:6" x14ac:dyDescent="0.35">
      <c r="A650" t="s">
        <v>81</v>
      </c>
      <c r="B650" t="s">
        <v>11</v>
      </c>
    </row>
    <row r="651" spans="1:6" x14ac:dyDescent="0.35">
      <c r="A651" t="s">
        <v>3</v>
      </c>
    </row>
    <row r="652" spans="1:6" x14ac:dyDescent="0.35">
      <c r="A652" t="s">
        <v>108</v>
      </c>
      <c r="B652" t="s">
        <v>11</v>
      </c>
    </row>
    <row r="653" spans="1:6" x14ac:dyDescent="0.35">
      <c r="A653" t="s">
        <v>12</v>
      </c>
    </row>
    <row r="654" spans="1:6" x14ac:dyDescent="0.35">
      <c r="A654" t="s">
        <v>105</v>
      </c>
      <c r="B654" t="s">
        <v>137</v>
      </c>
      <c r="C654" t="s">
        <v>11</v>
      </c>
    </row>
    <row r="655" spans="1:6" x14ac:dyDescent="0.35">
      <c r="A655" t="s">
        <v>11</v>
      </c>
    </row>
    <row r="656" spans="1:6" x14ac:dyDescent="0.35">
      <c r="A656" t="s">
        <v>123</v>
      </c>
      <c r="B656" t="s">
        <v>124</v>
      </c>
      <c r="C656" t="s">
        <v>125</v>
      </c>
    </row>
    <row r="657" spans="1:9" x14ac:dyDescent="0.35">
      <c r="A657" t="s">
        <v>1</v>
      </c>
      <c r="B657" t="s">
        <v>87</v>
      </c>
      <c r="C657" t="s">
        <v>114</v>
      </c>
    </row>
    <row r="658" spans="1:9" x14ac:dyDescent="0.35">
      <c r="A658" t="s">
        <v>5</v>
      </c>
    </row>
    <row r="659" spans="1:9" x14ac:dyDescent="0.35">
      <c r="A659" t="s">
        <v>6</v>
      </c>
    </row>
    <row r="660" spans="1:9" x14ac:dyDescent="0.35">
      <c r="A660" t="s">
        <v>93</v>
      </c>
      <c r="B660" t="s">
        <v>50</v>
      </c>
      <c r="C660" t="s">
        <v>51</v>
      </c>
      <c r="D660" t="s">
        <v>52</v>
      </c>
      <c r="E660" t="s">
        <v>94</v>
      </c>
      <c r="F660" t="s">
        <v>77</v>
      </c>
      <c r="G660" t="s">
        <v>95</v>
      </c>
    </row>
    <row r="661" spans="1:9" x14ac:dyDescent="0.35">
      <c r="A661" t="s">
        <v>81</v>
      </c>
      <c r="B661" t="s">
        <v>11</v>
      </c>
    </row>
    <row r="662" spans="1:9" x14ac:dyDescent="0.35">
      <c r="A662" t="s">
        <v>81</v>
      </c>
      <c r="B662" t="s">
        <v>11</v>
      </c>
    </row>
    <row r="663" spans="1:9" x14ac:dyDescent="0.35">
      <c r="A663" t="s">
        <v>5</v>
      </c>
    </row>
    <row r="664" spans="1:9" x14ac:dyDescent="0.35">
      <c r="A664" t="s">
        <v>7</v>
      </c>
    </row>
    <row r="665" spans="1:9" x14ac:dyDescent="0.35">
      <c r="A665" t="s">
        <v>1</v>
      </c>
    </row>
    <row r="666" spans="1:9" x14ac:dyDescent="0.35">
      <c r="A666" t="s">
        <v>138</v>
      </c>
      <c r="B666" t="s">
        <v>139</v>
      </c>
      <c r="C666" t="s">
        <v>140</v>
      </c>
      <c r="D666" t="s">
        <v>141</v>
      </c>
      <c r="E666" t="s">
        <v>142</v>
      </c>
      <c r="F666" t="s">
        <v>124</v>
      </c>
      <c r="G666" t="s">
        <v>143</v>
      </c>
      <c r="H666" t="s">
        <v>144</v>
      </c>
      <c r="I666" t="s">
        <v>145</v>
      </c>
    </row>
    <row r="667" spans="1:9" x14ac:dyDescent="0.35">
      <c r="A667" t="s">
        <v>17</v>
      </c>
    </row>
    <row r="668" spans="1:9" x14ac:dyDescent="0.35">
      <c r="A668" t="s">
        <v>50</v>
      </c>
      <c r="B668" t="s">
        <v>51</v>
      </c>
      <c r="C668" t="s">
        <v>52</v>
      </c>
      <c r="D668" t="s">
        <v>92</v>
      </c>
    </row>
    <row r="669" spans="1:9" x14ac:dyDescent="0.35">
      <c r="A669" t="s">
        <v>50</v>
      </c>
      <c r="B669" t="s">
        <v>51</v>
      </c>
      <c r="C669" t="s">
        <v>52</v>
      </c>
    </row>
    <row r="670" spans="1:9" x14ac:dyDescent="0.35">
      <c r="A670" t="s">
        <v>126</v>
      </c>
      <c r="B670" t="s">
        <v>127</v>
      </c>
    </row>
    <row r="671" spans="1:9" x14ac:dyDescent="0.35">
      <c r="A671" t="s">
        <v>50</v>
      </c>
      <c r="B671" t="s">
        <v>51</v>
      </c>
      <c r="C671" t="s">
        <v>52</v>
      </c>
      <c r="D671" t="s">
        <v>63</v>
      </c>
    </row>
    <row r="672" spans="1:9" x14ac:dyDescent="0.35">
      <c r="A672" t="s">
        <v>50</v>
      </c>
      <c r="B672" t="s">
        <v>51</v>
      </c>
      <c r="C672" t="s">
        <v>52</v>
      </c>
    </row>
    <row r="673" spans="1:6" x14ac:dyDescent="0.35">
      <c r="A673" t="s">
        <v>7</v>
      </c>
    </row>
    <row r="674" spans="1:6" x14ac:dyDescent="0.35">
      <c r="A674" t="s">
        <v>50</v>
      </c>
      <c r="B674" t="s">
        <v>51</v>
      </c>
      <c r="C674" t="s">
        <v>146</v>
      </c>
      <c r="D674" t="s">
        <v>52</v>
      </c>
      <c r="E674" t="s">
        <v>112</v>
      </c>
    </row>
    <row r="675" spans="1:6" x14ac:dyDescent="0.35">
      <c r="A675" t="s">
        <v>50</v>
      </c>
      <c r="B675" t="s">
        <v>51</v>
      </c>
      <c r="C675" t="s">
        <v>52</v>
      </c>
    </row>
    <row r="676" spans="1:6" x14ac:dyDescent="0.35">
      <c r="A676" t="s">
        <v>12</v>
      </c>
    </row>
    <row r="677" spans="1:6" x14ac:dyDescent="0.35">
      <c r="A677" t="s">
        <v>56</v>
      </c>
      <c r="B677" t="s">
        <v>57</v>
      </c>
    </row>
    <row r="678" spans="1:6" x14ac:dyDescent="0.35">
      <c r="A678" t="s">
        <v>50</v>
      </c>
      <c r="B678" t="s">
        <v>51</v>
      </c>
      <c r="C678" t="s">
        <v>52</v>
      </c>
      <c r="D678" t="s">
        <v>63</v>
      </c>
    </row>
    <row r="679" spans="1:6" x14ac:dyDescent="0.35">
      <c r="A679" t="s">
        <v>50</v>
      </c>
      <c r="B679" t="s">
        <v>51</v>
      </c>
      <c r="C679" t="s">
        <v>52</v>
      </c>
    </row>
    <row r="680" spans="1:6" x14ac:dyDescent="0.35">
      <c r="A680" t="s">
        <v>1</v>
      </c>
      <c r="B680" t="s">
        <v>87</v>
      </c>
      <c r="C680" t="s">
        <v>147</v>
      </c>
    </row>
    <row r="681" spans="1:6" x14ac:dyDescent="0.35">
      <c r="A681" t="s">
        <v>50</v>
      </c>
      <c r="B681" t="s">
        <v>51</v>
      </c>
      <c r="C681" t="s">
        <v>52</v>
      </c>
      <c r="D681" t="s">
        <v>61</v>
      </c>
    </row>
    <row r="682" spans="1:6" x14ac:dyDescent="0.35">
      <c r="A682" t="s">
        <v>96</v>
      </c>
      <c r="B682" t="s">
        <v>18</v>
      </c>
    </row>
    <row r="683" spans="1:6" x14ac:dyDescent="0.35">
      <c r="A683" t="s">
        <v>11</v>
      </c>
    </row>
    <row r="684" spans="1:6" x14ac:dyDescent="0.35">
      <c r="A684" t="s">
        <v>64</v>
      </c>
      <c r="B684" t="s">
        <v>65</v>
      </c>
      <c r="C684" t="s">
        <v>66</v>
      </c>
      <c r="D684" t="s">
        <v>18</v>
      </c>
      <c r="E684" t="s">
        <v>67</v>
      </c>
      <c r="F684" t="s">
        <v>68</v>
      </c>
    </row>
    <row r="685" spans="1:6" x14ac:dyDescent="0.35">
      <c r="A685" t="s">
        <v>148</v>
      </c>
      <c r="B685" t="s">
        <v>18</v>
      </c>
    </row>
    <row r="686" spans="1:6" x14ac:dyDescent="0.35">
      <c r="A686" t="s">
        <v>56</v>
      </c>
      <c r="B686" t="s">
        <v>57</v>
      </c>
      <c r="C686" t="s">
        <v>104</v>
      </c>
    </row>
    <row r="687" spans="1:6" x14ac:dyDescent="0.35">
      <c r="A687" t="s">
        <v>4</v>
      </c>
    </row>
    <row r="688" spans="1:6" x14ac:dyDescent="0.35">
      <c r="A688" t="s">
        <v>1</v>
      </c>
    </row>
    <row r="689" spans="1:7" x14ac:dyDescent="0.35">
      <c r="A689" t="s">
        <v>8</v>
      </c>
    </row>
    <row r="690" spans="1:7" x14ac:dyDescent="0.35">
      <c r="A690" t="s">
        <v>21</v>
      </c>
    </row>
    <row r="691" spans="1:7" x14ac:dyDescent="0.35">
      <c r="A691" t="s">
        <v>93</v>
      </c>
      <c r="B691" t="s">
        <v>50</v>
      </c>
      <c r="C691" t="s">
        <v>51</v>
      </c>
      <c r="D691" t="s">
        <v>52</v>
      </c>
      <c r="E691" t="s">
        <v>94</v>
      </c>
      <c r="F691" t="s">
        <v>77</v>
      </c>
      <c r="G691" t="s">
        <v>95</v>
      </c>
    </row>
    <row r="692" spans="1:7" x14ac:dyDescent="0.35">
      <c r="A692" t="s">
        <v>109</v>
      </c>
      <c r="B692" t="s">
        <v>110</v>
      </c>
      <c r="C692" t="s">
        <v>111</v>
      </c>
    </row>
    <row r="693" spans="1:7" x14ac:dyDescent="0.35">
      <c r="A693" t="s">
        <v>50</v>
      </c>
      <c r="B693" t="s">
        <v>51</v>
      </c>
      <c r="C693" t="s">
        <v>52</v>
      </c>
      <c r="D693" t="s">
        <v>136</v>
      </c>
    </row>
    <row r="694" spans="1:7" x14ac:dyDescent="0.35">
      <c r="A694" t="s">
        <v>50</v>
      </c>
      <c r="B694" t="s">
        <v>51</v>
      </c>
      <c r="C694" t="s">
        <v>52</v>
      </c>
      <c r="D694" t="s">
        <v>85</v>
      </c>
    </row>
    <row r="695" spans="1:7" x14ac:dyDescent="0.35">
      <c r="A695" t="s">
        <v>4</v>
      </c>
    </row>
    <row r="696" spans="1:7" x14ac:dyDescent="0.35">
      <c r="A696" t="s">
        <v>50</v>
      </c>
      <c r="B696" t="s">
        <v>51</v>
      </c>
      <c r="C696" t="s">
        <v>52</v>
      </c>
      <c r="D696" t="s">
        <v>63</v>
      </c>
    </row>
    <row r="697" spans="1:7" x14ac:dyDescent="0.35">
      <c r="A697" t="s">
        <v>50</v>
      </c>
      <c r="B697" t="s">
        <v>51</v>
      </c>
      <c r="C697" t="s">
        <v>52</v>
      </c>
      <c r="D697" t="s">
        <v>63</v>
      </c>
    </row>
    <row r="698" spans="1:7" x14ac:dyDescent="0.35">
      <c r="A698" t="s">
        <v>17</v>
      </c>
    </row>
    <row r="699" spans="1:7" x14ac:dyDescent="0.35">
      <c r="A699" t="s">
        <v>56</v>
      </c>
      <c r="B699" t="s">
        <v>57</v>
      </c>
    </row>
    <row r="700" spans="1:7" x14ac:dyDescent="0.35">
      <c r="A700" t="s">
        <v>66</v>
      </c>
      <c r="B700" t="s">
        <v>67</v>
      </c>
      <c r="C700" t="s">
        <v>68</v>
      </c>
    </row>
    <row r="701" spans="1:7" x14ac:dyDescent="0.35">
      <c r="A701" t="s">
        <v>126</v>
      </c>
      <c r="B701" t="s">
        <v>127</v>
      </c>
    </row>
    <row r="702" spans="1:7" x14ac:dyDescent="0.35">
      <c r="A702" t="s">
        <v>81</v>
      </c>
      <c r="B702" t="s">
        <v>11</v>
      </c>
    </row>
    <row r="703" spans="1:7" x14ac:dyDescent="0.35">
      <c r="A703" t="s">
        <v>7</v>
      </c>
    </row>
    <row r="704" spans="1:7" x14ac:dyDescent="0.35">
      <c r="A704" t="s">
        <v>81</v>
      </c>
      <c r="B704" t="s">
        <v>11</v>
      </c>
    </row>
    <row r="705" spans="1:7" x14ac:dyDescent="0.35">
      <c r="A705" t="s">
        <v>56</v>
      </c>
      <c r="B705" t="s">
        <v>57</v>
      </c>
      <c r="C705" t="s">
        <v>104</v>
      </c>
    </row>
    <row r="706" spans="1:7" x14ac:dyDescent="0.35">
      <c r="A706" t="s">
        <v>64</v>
      </c>
      <c r="B706" t="s">
        <v>65</v>
      </c>
      <c r="C706" t="s">
        <v>66</v>
      </c>
      <c r="D706" t="s">
        <v>18</v>
      </c>
      <c r="E706" t="s">
        <v>67</v>
      </c>
      <c r="F706" t="s">
        <v>68</v>
      </c>
    </row>
    <row r="707" spans="1:7" x14ac:dyDescent="0.35">
      <c r="A707" t="s">
        <v>81</v>
      </c>
      <c r="B707" t="s">
        <v>11</v>
      </c>
    </row>
    <row r="708" spans="1:7" x14ac:dyDescent="0.35">
      <c r="A708" t="s">
        <v>5</v>
      </c>
    </row>
    <row r="709" spans="1:7" x14ac:dyDescent="0.35">
      <c r="A709" t="s">
        <v>50</v>
      </c>
      <c r="B709" t="s">
        <v>51</v>
      </c>
      <c r="C709" t="s">
        <v>52</v>
      </c>
      <c r="D709" t="s">
        <v>60</v>
      </c>
      <c r="E709" t="s">
        <v>118</v>
      </c>
      <c r="F709" t="s">
        <v>61</v>
      </c>
    </row>
    <row r="710" spans="1:7" x14ac:dyDescent="0.35">
      <c r="A710" t="s">
        <v>50</v>
      </c>
      <c r="B710" t="s">
        <v>51</v>
      </c>
      <c r="C710" t="s">
        <v>52</v>
      </c>
      <c r="D710" t="s">
        <v>63</v>
      </c>
    </row>
    <row r="711" spans="1:7" x14ac:dyDescent="0.35">
      <c r="A711" t="s">
        <v>8</v>
      </c>
    </row>
    <row r="712" spans="1:7" x14ac:dyDescent="0.35">
      <c r="A712" t="s">
        <v>50</v>
      </c>
      <c r="B712" t="s">
        <v>51</v>
      </c>
      <c r="C712" t="s">
        <v>52</v>
      </c>
      <c r="D712" t="s">
        <v>59</v>
      </c>
    </row>
    <row r="713" spans="1:7" x14ac:dyDescent="0.35">
      <c r="A713" t="s">
        <v>50</v>
      </c>
      <c r="B713" t="s">
        <v>51</v>
      </c>
      <c r="C713" t="s">
        <v>82</v>
      </c>
      <c r="D713" t="s">
        <v>52</v>
      </c>
      <c r="E713" t="s">
        <v>77</v>
      </c>
      <c r="F713" t="s">
        <v>83</v>
      </c>
      <c r="G713" t="s">
        <v>84</v>
      </c>
    </row>
    <row r="714" spans="1:7" x14ac:dyDescent="0.35">
      <c r="A714" t="s">
        <v>50</v>
      </c>
      <c r="B714" t="s">
        <v>51</v>
      </c>
      <c r="C714" t="s">
        <v>52</v>
      </c>
      <c r="D714" t="s">
        <v>61</v>
      </c>
    </row>
    <row r="715" spans="1:7" x14ac:dyDescent="0.35">
      <c r="A715" t="s">
        <v>56</v>
      </c>
      <c r="B715" t="s">
        <v>57</v>
      </c>
      <c r="C715" t="s">
        <v>104</v>
      </c>
    </row>
    <row r="716" spans="1:7" x14ac:dyDescent="0.35">
      <c r="A716" t="s">
        <v>5</v>
      </c>
    </row>
    <row r="717" spans="1:7" x14ac:dyDescent="0.35">
      <c r="A717" t="s">
        <v>1</v>
      </c>
    </row>
    <row r="718" spans="1:7" x14ac:dyDescent="0.35">
      <c r="A718" t="s">
        <v>1</v>
      </c>
      <c r="B718" t="s">
        <v>87</v>
      </c>
      <c r="C718" t="s">
        <v>131</v>
      </c>
    </row>
    <row r="719" spans="1:7" x14ac:dyDescent="0.35">
      <c r="A719" t="s">
        <v>20</v>
      </c>
    </row>
    <row r="720" spans="1:7" x14ac:dyDescent="0.35">
      <c r="A720" t="s">
        <v>50</v>
      </c>
      <c r="B720" t="s">
        <v>51</v>
      </c>
      <c r="C720" t="s">
        <v>52</v>
      </c>
      <c r="D720" t="s">
        <v>74</v>
      </c>
      <c r="E720" t="s">
        <v>75</v>
      </c>
    </row>
    <row r="721" spans="1:9" x14ac:dyDescent="0.35">
      <c r="A721" t="s">
        <v>12</v>
      </c>
    </row>
    <row r="722" spans="1:9" x14ac:dyDescent="0.35">
      <c r="A722" t="s">
        <v>50</v>
      </c>
      <c r="B722" t="s">
        <v>51</v>
      </c>
      <c r="C722" t="s">
        <v>52</v>
      </c>
    </row>
    <row r="723" spans="1:9" x14ac:dyDescent="0.35">
      <c r="A723" t="s">
        <v>93</v>
      </c>
      <c r="B723" t="s">
        <v>50</v>
      </c>
      <c r="C723" t="s">
        <v>51</v>
      </c>
      <c r="D723" t="s">
        <v>52</v>
      </c>
      <c r="E723" t="s">
        <v>94</v>
      </c>
      <c r="F723" t="s">
        <v>77</v>
      </c>
      <c r="G723" t="s">
        <v>95</v>
      </c>
    </row>
    <row r="724" spans="1:9" x14ac:dyDescent="0.35">
      <c r="A724" t="s">
        <v>12</v>
      </c>
    </row>
    <row r="725" spans="1:9" x14ac:dyDescent="0.35">
      <c r="A725" t="s">
        <v>50</v>
      </c>
      <c r="B725" t="s">
        <v>51</v>
      </c>
      <c r="C725" t="s">
        <v>52</v>
      </c>
    </row>
    <row r="726" spans="1:9" x14ac:dyDescent="0.35">
      <c r="A726" t="s">
        <v>96</v>
      </c>
      <c r="B726" t="s">
        <v>18</v>
      </c>
    </row>
    <row r="727" spans="1:9" x14ac:dyDescent="0.35">
      <c r="A727" t="s">
        <v>105</v>
      </c>
      <c r="B727" t="s">
        <v>14</v>
      </c>
    </row>
    <row r="728" spans="1:9" x14ac:dyDescent="0.35">
      <c r="A728" t="s">
        <v>18</v>
      </c>
      <c r="B728" t="s">
        <v>130</v>
      </c>
    </row>
    <row r="729" spans="1:9" x14ac:dyDescent="0.35">
      <c r="A729" t="s">
        <v>7</v>
      </c>
    </row>
    <row r="730" spans="1:9" x14ac:dyDescent="0.35">
      <c r="A730" t="s">
        <v>50</v>
      </c>
      <c r="B730" t="s">
        <v>51</v>
      </c>
      <c r="C730" t="s">
        <v>52</v>
      </c>
      <c r="D730" t="s">
        <v>63</v>
      </c>
    </row>
    <row r="731" spans="1:9" x14ac:dyDescent="0.35">
      <c r="A731" t="s">
        <v>149</v>
      </c>
      <c r="B731" t="s">
        <v>109</v>
      </c>
      <c r="C731" t="s">
        <v>110</v>
      </c>
      <c r="D731" t="s">
        <v>111</v>
      </c>
    </row>
    <row r="732" spans="1:9" x14ac:dyDescent="0.35">
      <c r="A732" t="s">
        <v>50</v>
      </c>
      <c r="B732" t="s">
        <v>51</v>
      </c>
      <c r="C732" t="s">
        <v>52</v>
      </c>
      <c r="D732" t="s">
        <v>63</v>
      </c>
    </row>
    <row r="733" spans="1:9" x14ac:dyDescent="0.35">
      <c r="A733" t="s">
        <v>50</v>
      </c>
      <c r="B733" t="s">
        <v>51</v>
      </c>
      <c r="C733" t="s">
        <v>52</v>
      </c>
      <c r="D733" t="s">
        <v>77</v>
      </c>
      <c r="E733" t="s">
        <v>78</v>
      </c>
    </row>
    <row r="734" spans="1:9" x14ac:dyDescent="0.35">
      <c r="A734" t="s">
        <v>66</v>
      </c>
      <c r="B734" t="s">
        <v>67</v>
      </c>
      <c r="C734" t="s">
        <v>68</v>
      </c>
    </row>
    <row r="735" spans="1:9" x14ac:dyDescent="0.35">
      <c r="A735" t="s">
        <v>12</v>
      </c>
    </row>
    <row r="736" spans="1:9" x14ac:dyDescent="0.35">
      <c r="A736" t="s">
        <v>138</v>
      </c>
      <c r="B736" t="s">
        <v>139</v>
      </c>
      <c r="C736" t="s">
        <v>140</v>
      </c>
      <c r="D736" t="s">
        <v>141</v>
      </c>
      <c r="E736" t="s">
        <v>142</v>
      </c>
      <c r="F736" t="s">
        <v>124</v>
      </c>
      <c r="G736" t="s">
        <v>143</v>
      </c>
      <c r="H736" t="s">
        <v>150</v>
      </c>
      <c r="I736" t="s">
        <v>145</v>
      </c>
    </row>
    <row r="737" spans="1:7" x14ac:dyDescent="0.35">
      <c r="A737" t="s">
        <v>12</v>
      </c>
    </row>
    <row r="738" spans="1:7" x14ac:dyDescent="0.35">
      <c r="A738" t="s">
        <v>3</v>
      </c>
    </row>
    <row r="739" spans="1:7" x14ac:dyDescent="0.35">
      <c r="A739" t="s">
        <v>7</v>
      </c>
    </row>
    <row r="740" spans="1:7" x14ac:dyDescent="0.35">
      <c r="A740" t="s">
        <v>50</v>
      </c>
      <c r="B740" t="s">
        <v>51</v>
      </c>
      <c r="C740" t="s">
        <v>52</v>
      </c>
    </row>
    <row r="741" spans="1:7" x14ac:dyDescent="0.35">
      <c r="A741" t="s">
        <v>50</v>
      </c>
      <c r="B741" t="s">
        <v>51</v>
      </c>
      <c r="C741" t="s">
        <v>52</v>
      </c>
      <c r="D741" t="s">
        <v>77</v>
      </c>
      <c r="E741" t="s">
        <v>83</v>
      </c>
      <c r="F741" t="s">
        <v>84</v>
      </c>
    </row>
    <row r="742" spans="1:7" x14ac:dyDescent="0.35">
      <c r="A742" t="s">
        <v>11</v>
      </c>
    </row>
    <row r="743" spans="1:7" x14ac:dyDescent="0.35">
      <c r="A743" t="s">
        <v>50</v>
      </c>
      <c r="B743" t="s">
        <v>51</v>
      </c>
      <c r="C743" t="s">
        <v>52</v>
      </c>
      <c r="D743" t="s">
        <v>77</v>
      </c>
      <c r="E743" t="s">
        <v>83</v>
      </c>
      <c r="F743" t="s">
        <v>84</v>
      </c>
    </row>
    <row r="744" spans="1:7" x14ac:dyDescent="0.35">
      <c r="A744" t="s">
        <v>123</v>
      </c>
      <c r="B744" t="s">
        <v>124</v>
      </c>
      <c r="C744" t="s">
        <v>125</v>
      </c>
    </row>
    <row r="745" spans="1:7" x14ac:dyDescent="0.35">
      <c r="A745" t="s">
        <v>93</v>
      </c>
      <c r="B745" t="s">
        <v>50</v>
      </c>
      <c r="C745" t="s">
        <v>51</v>
      </c>
      <c r="D745" t="s">
        <v>52</v>
      </c>
      <c r="E745" t="s">
        <v>94</v>
      </c>
      <c r="F745" t="s">
        <v>77</v>
      </c>
      <c r="G745" t="s">
        <v>95</v>
      </c>
    </row>
    <row r="746" spans="1:7" x14ac:dyDescent="0.35">
      <c r="A746" t="s">
        <v>5</v>
      </c>
    </row>
    <row r="747" spans="1:7" x14ac:dyDescent="0.35">
      <c r="A747" t="s">
        <v>20</v>
      </c>
    </row>
    <row r="748" spans="1:7" x14ac:dyDescent="0.35">
      <c r="A748" t="s">
        <v>50</v>
      </c>
      <c r="B748" t="s">
        <v>51</v>
      </c>
      <c r="C748" t="s">
        <v>52</v>
      </c>
      <c r="D748" t="s">
        <v>77</v>
      </c>
      <c r="E748" t="s">
        <v>83</v>
      </c>
      <c r="F748" t="s">
        <v>84</v>
      </c>
    </row>
    <row r="749" spans="1:7" x14ac:dyDescent="0.35">
      <c r="A749" t="s">
        <v>12</v>
      </c>
    </row>
    <row r="750" spans="1:7" x14ac:dyDescent="0.35">
      <c r="A750" t="s">
        <v>12</v>
      </c>
    </row>
    <row r="751" spans="1:7" x14ac:dyDescent="0.35">
      <c r="A751" t="s">
        <v>19</v>
      </c>
    </row>
    <row r="752" spans="1:7" x14ac:dyDescent="0.35">
      <c r="A752" t="s">
        <v>105</v>
      </c>
      <c r="B752" t="s">
        <v>14</v>
      </c>
    </row>
    <row r="753" spans="1:7" x14ac:dyDescent="0.35">
      <c r="A753" t="s">
        <v>56</v>
      </c>
      <c r="B753" t="s">
        <v>57</v>
      </c>
      <c r="C753" t="s">
        <v>99</v>
      </c>
    </row>
    <row r="754" spans="1:7" x14ac:dyDescent="0.35">
      <c r="A754" t="s">
        <v>3</v>
      </c>
    </row>
    <row r="755" spans="1:7" x14ac:dyDescent="0.35">
      <c r="A755" t="s">
        <v>126</v>
      </c>
      <c r="B755" t="s">
        <v>127</v>
      </c>
    </row>
    <row r="756" spans="1:7" x14ac:dyDescent="0.35">
      <c r="A756" t="s">
        <v>50</v>
      </c>
      <c r="B756" t="s">
        <v>51</v>
      </c>
      <c r="C756" t="s">
        <v>52</v>
      </c>
      <c r="D756" t="s">
        <v>74</v>
      </c>
      <c r="E756" t="s">
        <v>75</v>
      </c>
    </row>
    <row r="757" spans="1:7" x14ac:dyDescent="0.35">
      <c r="A757" t="s">
        <v>151</v>
      </c>
      <c r="B757" t="s">
        <v>152</v>
      </c>
      <c r="C757" t="s">
        <v>153</v>
      </c>
    </row>
    <row r="758" spans="1:7" x14ac:dyDescent="0.35">
      <c r="A758" t="s">
        <v>50</v>
      </c>
      <c r="B758" t="s">
        <v>51</v>
      </c>
      <c r="C758" t="s">
        <v>82</v>
      </c>
      <c r="D758" t="s">
        <v>52</v>
      </c>
      <c r="E758" t="s">
        <v>77</v>
      </c>
      <c r="F758" t="s">
        <v>83</v>
      </c>
      <c r="G758" t="s">
        <v>84</v>
      </c>
    </row>
    <row r="759" spans="1:7" x14ac:dyDescent="0.35">
      <c r="A759" t="s">
        <v>3</v>
      </c>
    </row>
    <row r="760" spans="1:7" x14ac:dyDescent="0.35">
      <c r="A760" t="s">
        <v>7</v>
      </c>
    </row>
    <row r="761" spans="1:7" x14ac:dyDescent="0.35">
      <c r="A761" t="s">
        <v>50</v>
      </c>
      <c r="B761" t="s">
        <v>51</v>
      </c>
      <c r="C761" t="s">
        <v>52</v>
      </c>
      <c r="D761" t="s">
        <v>63</v>
      </c>
    </row>
    <row r="762" spans="1:7" x14ac:dyDescent="0.35">
      <c r="A762" t="s">
        <v>7</v>
      </c>
    </row>
    <row r="763" spans="1:7" x14ac:dyDescent="0.35">
      <c r="A763" t="s">
        <v>18</v>
      </c>
    </row>
    <row r="764" spans="1:7" x14ac:dyDescent="0.35">
      <c r="A764" t="s">
        <v>50</v>
      </c>
      <c r="B764" t="s">
        <v>51</v>
      </c>
      <c r="C764" t="s">
        <v>52</v>
      </c>
      <c r="D764" t="s">
        <v>63</v>
      </c>
    </row>
    <row r="765" spans="1:7" x14ac:dyDescent="0.35">
      <c r="A765" t="s">
        <v>66</v>
      </c>
      <c r="B765" t="s">
        <v>67</v>
      </c>
      <c r="C765" t="s">
        <v>68</v>
      </c>
    </row>
    <row r="766" spans="1:7" x14ac:dyDescent="0.35">
      <c r="A766" t="s">
        <v>10</v>
      </c>
    </row>
    <row r="767" spans="1:7" x14ac:dyDescent="0.35">
      <c r="A767" t="s">
        <v>50</v>
      </c>
      <c r="B767" t="s">
        <v>51</v>
      </c>
      <c r="C767" t="s">
        <v>52</v>
      </c>
    </row>
    <row r="768" spans="1:7" x14ac:dyDescent="0.35">
      <c r="A768" t="s">
        <v>50</v>
      </c>
      <c r="B768" t="s">
        <v>51</v>
      </c>
      <c r="C768" t="s">
        <v>52</v>
      </c>
      <c r="D768" t="s">
        <v>77</v>
      </c>
      <c r="E768" t="s">
        <v>83</v>
      </c>
      <c r="F768" t="s">
        <v>84</v>
      </c>
    </row>
    <row r="769" spans="1:6" x14ac:dyDescent="0.35">
      <c r="A769" t="s">
        <v>50</v>
      </c>
      <c r="B769" t="s">
        <v>51</v>
      </c>
      <c r="C769" t="s">
        <v>52</v>
      </c>
    </row>
    <row r="770" spans="1:6" x14ac:dyDescent="0.35">
      <c r="A770" t="s">
        <v>50</v>
      </c>
      <c r="B770" t="s">
        <v>51</v>
      </c>
      <c r="C770" t="s">
        <v>52</v>
      </c>
      <c r="D770" t="s">
        <v>72</v>
      </c>
      <c r="E770" t="s">
        <v>73</v>
      </c>
      <c r="F770" t="s">
        <v>113</v>
      </c>
    </row>
    <row r="771" spans="1:6" x14ac:dyDescent="0.35">
      <c r="A771" t="s">
        <v>6</v>
      </c>
    </row>
    <row r="772" spans="1:6" x14ac:dyDescent="0.35">
      <c r="A772" t="s">
        <v>3</v>
      </c>
    </row>
    <row r="773" spans="1:6" x14ac:dyDescent="0.35">
      <c r="A773" t="s">
        <v>50</v>
      </c>
      <c r="B773" t="s">
        <v>51</v>
      </c>
      <c r="C773" t="s">
        <v>52</v>
      </c>
      <c r="D773" t="s">
        <v>63</v>
      </c>
    </row>
    <row r="774" spans="1:6" x14ac:dyDescent="0.35">
      <c r="A774" t="s">
        <v>17</v>
      </c>
    </row>
    <row r="775" spans="1:6" x14ac:dyDescent="0.35">
      <c r="A775" t="s">
        <v>50</v>
      </c>
      <c r="B775" t="s">
        <v>51</v>
      </c>
      <c r="C775" t="s">
        <v>52</v>
      </c>
      <c r="D775" t="s">
        <v>63</v>
      </c>
    </row>
    <row r="776" spans="1:6" x14ac:dyDescent="0.35">
      <c r="A776" t="s">
        <v>148</v>
      </c>
      <c r="B776" t="s">
        <v>18</v>
      </c>
    </row>
    <row r="777" spans="1:6" x14ac:dyDescent="0.35">
      <c r="A777" t="s">
        <v>50</v>
      </c>
      <c r="B777" t="s">
        <v>51</v>
      </c>
      <c r="C777" t="s">
        <v>52</v>
      </c>
      <c r="D777" t="s">
        <v>63</v>
      </c>
    </row>
    <row r="778" spans="1:6" x14ac:dyDescent="0.35">
      <c r="A778" t="s">
        <v>50</v>
      </c>
      <c r="B778" t="s">
        <v>51</v>
      </c>
      <c r="C778" t="s">
        <v>52</v>
      </c>
      <c r="D778" t="s">
        <v>63</v>
      </c>
    </row>
    <row r="779" spans="1:6" x14ac:dyDescent="0.35">
      <c r="A779" t="s">
        <v>50</v>
      </c>
      <c r="B779" t="s">
        <v>51</v>
      </c>
      <c r="C779" t="s">
        <v>52</v>
      </c>
    </row>
    <row r="780" spans="1:6" x14ac:dyDescent="0.35">
      <c r="A780" t="s">
        <v>8</v>
      </c>
    </row>
    <row r="781" spans="1:6" x14ac:dyDescent="0.35">
      <c r="A781" t="s">
        <v>50</v>
      </c>
      <c r="B781" t="s">
        <v>51</v>
      </c>
      <c r="C781" t="s">
        <v>52</v>
      </c>
    </row>
    <row r="782" spans="1:6" x14ac:dyDescent="0.35">
      <c r="A782" t="s">
        <v>81</v>
      </c>
      <c r="B782" t="s">
        <v>11</v>
      </c>
    </row>
    <row r="783" spans="1:6" x14ac:dyDescent="0.35">
      <c r="A783" t="s">
        <v>50</v>
      </c>
      <c r="B783" t="s">
        <v>51</v>
      </c>
      <c r="C783" t="s">
        <v>52</v>
      </c>
    </row>
    <row r="784" spans="1:6" x14ac:dyDescent="0.35">
      <c r="A784" t="s">
        <v>154</v>
      </c>
      <c r="B784" t="s">
        <v>1</v>
      </c>
    </row>
    <row r="785" spans="1:7" x14ac:dyDescent="0.35">
      <c r="A785" t="s">
        <v>50</v>
      </c>
      <c r="B785" t="s">
        <v>51</v>
      </c>
      <c r="C785" t="s">
        <v>52</v>
      </c>
      <c r="D785" t="s">
        <v>63</v>
      </c>
    </row>
    <row r="786" spans="1:7" x14ac:dyDescent="0.35">
      <c r="A786" t="s">
        <v>50</v>
      </c>
      <c r="B786" t="s">
        <v>51</v>
      </c>
      <c r="C786" t="s">
        <v>52</v>
      </c>
      <c r="D786" t="s">
        <v>63</v>
      </c>
    </row>
    <row r="787" spans="1:7" x14ac:dyDescent="0.35">
      <c r="A787" t="s">
        <v>50</v>
      </c>
      <c r="B787" t="s">
        <v>51</v>
      </c>
      <c r="C787" t="s">
        <v>52</v>
      </c>
      <c r="D787" t="s">
        <v>63</v>
      </c>
    </row>
    <row r="788" spans="1:7" x14ac:dyDescent="0.35">
      <c r="A788" t="s">
        <v>1</v>
      </c>
    </row>
    <row r="789" spans="1:7" x14ac:dyDescent="0.35">
      <c r="A789" t="s">
        <v>5</v>
      </c>
    </row>
    <row r="790" spans="1:7" x14ac:dyDescent="0.35">
      <c r="A790" t="s">
        <v>1</v>
      </c>
      <c r="B790" t="s">
        <v>87</v>
      </c>
      <c r="C790" t="s">
        <v>114</v>
      </c>
    </row>
    <row r="791" spans="1:7" x14ac:dyDescent="0.35">
      <c r="A791" t="s">
        <v>93</v>
      </c>
      <c r="B791" t="s">
        <v>50</v>
      </c>
      <c r="C791" t="s">
        <v>51</v>
      </c>
      <c r="D791" t="s">
        <v>52</v>
      </c>
      <c r="E791" t="s">
        <v>94</v>
      </c>
      <c r="F791" t="s">
        <v>77</v>
      </c>
      <c r="G791" t="s">
        <v>95</v>
      </c>
    </row>
    <row r="792" spans="1:7" x14ac:dyDescent="0.35">
      <c r="A792" t="s">
        <v>50</v>
      </c>
      <c r="B792" t="s">
        <v>51</v>
      </c>
      <c r="C792" t="s">
        <v>52</v>
      </c>
      <c r="D792" t="s">
        <v>72</v>
      </c>
      <c r="E792" t="s">
        <v>73</v>
      </c>
      <c r="F792" t="s">
        <v>113</v>
      </c>
    </row>
    <row r="793" spans="1:7" x14ac:dyDescent="0.35">
      <c r="A793" t="s">
        <v>109</v>
      </c>
      <c r="B793" t="s">
        <v>110</v>
      </c>
      <c r="C793" t="s">
        <v>111</v>
      </c>
    </row>
    <row r="794" spans="1:7" x14ac:dyDescent="0.35">
      <c r="A794" t="s">
        <v>3</v>
      </c>
    </row>
    <row r="795" spans="1:7" x14ac:dyDescent="0.35">
      <c r="A795" t="s">
        <v>121</v>
      </c>
      <c r="B795" t="s">
        <v>122</v>
      </c>
    </row>
    <row r="796" spans="1:7" x14ac:dyDescent="0.35">
      <c r="A796" t="s">
        <v>10</v>
      </c>
    </row>
    <row r="797" spans="1:7" x14ac:dyDescent="0.35">
      <c r="A797" t="s">
        <v>50</v>
      </c>
      <c r="B797" t="s">
        <v>51</v>
      </c>
      <c r="C797" t="s">
        <v>52</v>
      </c>
      <c r="D797" t="s">
        <v>63</v>
      </c>
    </row>
    <row r="798" spans="1:7" x14ac:dyDescent="0.35">
      <c r="A798" t="s">
        <v>50</v>
      </c>
      <c r="B798" t="s">
        <v>51</v>
      </c>
      <c r="C798" t="s">
        <v>52</v>
      </c>
    </row>
    <row r="799" spans="1:7" x14ac:dyDescent="0.35">
      <c r="A799" t="s">
        <v>50</v>
      </c>
      <c r="B799" t="s">
        <v>51</v>
      </c>
      <c r="C799" t="s">
        <v>52</v>
      </c>
      <c r="D799" t="s">
        <v>63</v>
      </c>
    </row>
    <row r="800" spans="1:7" x14ac:dyDescent="0.35">
      <c r="A800" t="s">
        <v>4</v>
      </c>
    </row>
    <row r="801" spans="1:6" x14ac:dyDescent="0.35">
      <c r="A801" t="s">
        <v>4</v>
      </c>
    </row>
    <row r="802" spans="1:6" x14ac:dyDescent="0.35">
      <c r="A802" t="s">
        <v>50</v>
      </c>
      <c r="B802" t="s">
        <v>51</v>
      </c>
      <c r="C802" t="s">
        <v>52</v>
      </c>
      <c r="D802" t="s">
        <v>74</v>
      </c>
      <c r="E802" t="s">
        <v>75</v>
      </c>
    </row>
    <row r="803" spans="1:6" x14ac:dyDescent="0.35">
      <c r="A803" t="s">
        <v>64</v>
      </c>
      <c r="B803" t="s">
        <v>65</v>
      </c>
      <c r="C803" t="s">
        <v>66</v>
      </c>
      <c r="D803" t="s">
        <v>18</v>
      </c>
      <c r="E803" t="s">
        <v>67</v>
      </c>
      <c r="F803" t="s">
        <v>68</v>
      </c>
    </row>
    <row r="804" spans="1:6" x14ac:dyDescent="0.35">
      <c r="A804" t="s">
        <v>1</v>
      </c>
    </row>
    <row r="805" spans="1:6" x14ac:dyDescent="0.35">
      <c r="A805" t="s">
        <v>1</v>
      </c>
    </row>
    <row r="806" spans="1:6" x14ac:dyDescent="0.35">
      <c r="A806" t="s">
        <v>1</v>
      </c>
      <c r="B806" t="s">
        <v>87</v>
      </c>
      <c r="C806" t="s">
        <v>133</v>
      </c>
    </row>
    <row r="807" spans="1:6" x14ac:dyDescent="0.35">
      <c r="A807" t="s">
        <v>7</v>
      </c>
    </row>
    <row r="808" spans="1:6" x14ac:dyDescent="0.35">
      <c r="A808" t="s">
        <v>50</v>
      </c>
      <c r="B808" t="s">
        <v>51</v>
      </c>
      <c r="C808" t="s">
        <v>52</v>
      </c>
      <c r="D808" t="s">
        <v>63</v>
      </c>
    </row>
    <row r="809" spans="1:6" x14ac:dyDescent="0.35">
      <c r="A809" t="s">
        <v>7</v>
      </c>
    </row>
    <row r="810" spans="1:6" x14ac:dyDescent="0.35">
      <c r="A810" t="s">
        <v>96</v>
      </c>
      <c r="B810" t="s">
        <v>18</v>
      </c>
    </row>
    <row r="811" spans="1:6" x14ac:dyDescent="0.35">
      <c r="A811" t="s">
        <v>12</v>
      </c>
    </row>
    <row r="812" spans="1:6" x14ac:dyDescent="0.35">
      <c r="A812" t="s">
        <v>22</v>
      </c>
    </row>
    <row r="813" spans="1:6" x14ac:dyDescent="0.35">
      <c r="A813" t="s">
        <v>7</v>
      </c>
    </row>
    <row r="814" spans="1:6" x14ac:dyDescent="0.35">
      <c r="A814" t="s">
        <v>50</v>
      </c>
      <c r="B814" t="s">
        <v>51</v>
      </c>
      <c r="C814" t="s">
        <v>52</v>
      </c>
    </row>
    <row r="815" spans="1:6" x14ac:dyDescent="0.35">
      <c r="A815" t="s">
        <v>5</v>
      </c>
    </row>
    <row r="816" spans="1:6" x14ac:dyDescent="0.35">
      <c r="A816" t="s">
        <v>100</v>
      </c>
      <c r="B816" t="s">
        <v>101</v>
      </c>
      <c r="C816" t="s">
        <v>102</v>
      </c>
    </row>
    <row r="817" spans="1:7" x14ac:dyDescent="0.35">
      <c r="A817" t="s">
        <v>108</v>
      </c>
      <c r="B817" t="s">
        <v>11</v>
      </c>
    </row>
    <row r="818" spans="1:7" x14ac:dyDescent="0.35">
      <c r="A818" t="s">
        <v>50</v>
      </c>
      <c r="B818" t="s">
        <v>51</v>
      </c>
      <c r="C818" t="s">
        <v>52</v>
      </c>
      <c r="D818" t="s">
        <v>63</v>
      </c>
    </row>
    <row r="819" spans="1:7" x14ac:dyDescent="0.35">
      <c r="A819" t="s">
        <v>7</v>
      </c>
    </row>
    <row r="820" spans="1:7" x14ac:dyDescent="0.35">
      <c r="A820" t="s">
        <v>8</v>
      </c>
    </row>
    <row r="821" spans="1:7" x14ac:dyDescent="0.35">
      <c r="A821" t="s">
        <v>96</v>
      </c>
      <c r="B821" t="s">
        <v>18</v>
      </c>
    </row>
    <row r="822" spans="1:7" x14ac:dyDescent="0.35">
      <c r="A822" t="s">
        <v>1</v>
      </c>
    </row>
    <row r="823" spans="1:7" x14ac:dyDescent="0.35">
      <c r="A823" t="s">
        <v>11</v>
      </c>
      <c r="B823" t="s">
        <v>107</v>
      </c>
    </row>
    <row r="824" spans="1:7" x14ac:dyDescent="0.35">
      <c r="A824" t="s">
        <v>50</v>
      </c>
      <c r="B824" t="s">
        <v>51</v>
      </c>
      <c r="C824" t="s">
        <v>52</v>
      </c>
    </row>
    <row r="825" spans="1:7" x14ac:dyDescent="0.35">
      <c r="A825" t="s">
        <v>1</v>
      </c>
    </row>
    <row r="826" spans="1:7" x14ac:dyDescent="0.35">
      <c r="A826" t="s">
        <v>50</v>
      </c>
      <c r="B826" t="s">
        <v>51</v>
      </c>
      <c r="C826" t="s">
        <v>52</v>
      </c>
      <c r="D826" t="s">
        <v>61</v>
      </c>
    </row>
    <row r="827" spans="1:7" x14ac:dyDescent="0.35">
      <c r="A827" t="s">
        <v>56</v>
      </c>
      <c r="B827" t="s">
        <v>57</v>
      </c>
    </row>
    <row r="828" spans="1:7" x14ac:dyDescent="0.35">
      <c r="A828" t="s">
        <v>93</v>
      </c>
      <c r="B828" t="s">
        <v>50</v>
      </c>
      <c r="C828" t="s">
        <v>51</v>
      </c>
      <c r="D828" t="s">
        <v>52</v>
      </c>
      <c r="E828" t="s">
        <v>94</v>
      </c>
      <c r="F828" t="s">
        <v>77</v>
      </c>
      <c r="G828" t="s">
        <v>95</v>
      </c>
    </row>
    <row r="829" spans="1:7" x14ac:dyDescent="0.35">
      <c r="A829" t="s">
        <v>1</v>
      </c>
    </row>
    <row r="830" spans="1:7" x14ac:dyDescent="0.35">
      <c r="A830" t="s">
        <v>50</v>
      </c>
      <c r="B830" t="s">
        <v>51</v>
      </c>
      <c r="C830" t="s">
        <v>52</v>
      </c>
      <c r="D830" t="s">
        <v>63</v>
      </c>
    </row>
    <row r="831" spans="1:7" x14ac:dyDescent="0.35">
      <c r="A831" t="s">
        <v>64</v>
      </c>
      <c r="B831" t="s">
        <v>65</v>
      </c>
      <c r="C831" t="s">
        <v>66</v>
      </c>
      <c r="D831" t="s">
        <v>18</v>
      </c>
      <c r="E831" t="s">
        <v>67</v>
      </c>
      <c r="F831" t="s">
        <v>68</v>
      </c>
    </row>
    <row r="832" spans="1:7" x14ac:dyDescent="0.35">
      <c r="A832" t="s">
        <v>50</v>
      </c>
      <c r="B832" t="s">
        <v>51</v>
      </c>
      <c r="C832" t="s">
        <v>52</v>
      </c>
    </row>
    <row r="833" spans="1:7" x14ac:dyDescent="0.35">
      <c r="A833" t="s">
        <v>4</v>
      </c>
    </row>
    <row r="834" spans="1:7" x14ac:dyDescent="0.35">
      <c r="A834" t="s">
        <v>50</v>
      </c>
      <c r="B834" t="s">
        <v>51</v>
      </c>
      <c r="C834" t="s">
        <v>52</v>
      </c>
      <c r="D834" t="s">
        <v>63</v>
      </c>
    </row>
    <row r="835" spans="1:7" x14ac:dyDescent="0.35">
      <c r="A835" t="s">
        <v>10</v>
      </c>
    </row>
    <row r="836" spans="1:7" x14ac:dyDescent="0.35">
      <c r="A836" t="s">
        <v>155</v>
      </c>
      <c r="B836" t="s">
        <v>156</v>
      </c>
      <c r="C836" t="s">
        <v>157</v>
      </c>
    </row>
    <row r="837" spans="1:7" x14ac:dyDescent="0.35">
      <c r="A837" t="s">
        <v>64</v>
      </c>
      <c r="B837" t="s">
        <v>65</v>
      </c>
      <c r="C837" t="s">
        <v>158</v>
      </c>
      <c r="D837" t="s">
        <v>66</v>
      </c>
      <c r="E837" t="s">
        <v>18</v>
      </c>
      <c r="F837" t="s">
        <v>67</v>
      </c>
      <c r="G837" t="s">
        <v>68</v>
      </c>
    </row>
    <row r="838" spans="1:7" x14ac:dyDescent="0.35">
      <c r="A838" t="s">
        <v>108</v>
      </c>
      <c r="B838" t="s">
        <v>11</v>
      </c>
    </row>
    <row r="839" spans="1:7" x14ac:dyDescent="0.35">
      <c r="A839" t="s">
        <v>64</v>
      </c>
      <c r="B839" t="s">
        <v>65</v>
      </c>
      <c r="C839" t="s">
        <v>158</v>
      </c>
      <c r="D839" t="s">
        <v>66</v>
      </c>
      <c r="E839" t="s">
        <v>18</v>
      </c>
      <c r="F839" t="s">
        <v>67</v>
      </c>
      <c r="G839" t="s">
        <v>68</v>
      </c>
    </row>
    <row r="840" spans="1:7" x14ac:dyDescent="0.35">
      <c r="A840" t="s">
        <v>50</v>
      </c>
      <c r="B840" t="s">
        <v>51</v>
      </c>
      <c r="C840" t="s">
        <v>52</v>
      </c>
      <c r="D840" t="s">
        <v>63</v>
      </c>
    </row>
    <row r="841" spans="1:7" x14ac:dyDescent="0.35">
      <c r="A841" t="s">
        <v>10</v>
      </c>
    </row>
    <row r="842" spans="1:7" x14ac:dyDescent="0.35">
      <c r="A842" t="s">
        <v>8</v>
      </c>
    </row>
    <row r="843" spans="1:7" x14ac:dyDescent="0.35">
      <c r="A843" t="s">
        <v>4</v>
      </c>
    </row>
    <row r="844" spans="1:7" x14ac:dyDescent="0.35">
      <c r="A844" t="s">
        <v>10</v>
      </c>
    </row>
    <row r="845" spans="1:7" x14ac:dyDescent="0.35">
      <c r="A845" t="s">
        <v>5</v>
      </c>
    </row>
    <row r="846" spans="1:7" x14ac:dyDescent="0.35">
      <c r="A846" t="s">
        <v>19</v>
      </c>
    </row>
    <row r="847" spans="1:7" x14ac:dyDescent="0.35">
      <c r="A847" t="s">
        <v>108</v>
      </c>
      <c r="B847" t="s">
        <v>11</v>
      </c>
    </row>
    <row r="848" spans="1:7" x14ac:dyDescent="0.35">
      <c r="A848" t="s">
        <v>93</v>
      </c>
      <c r="B848" t="s">
        <v>50</v>
      </c>
      <c r="C848" t="s">
        <v>51</v>
      </c>
      <c r="D848" t="s">
        <v>52</v>
      </c>
      <c r="E848" t="s">
        <v>94</v>
      </c>
      <c r="F848" t="s">
        <v>77</v>
      </c>
      <c r="G848" t="s">
        <v>95</v>
      </c>
    </row>
    <row r="849" spans="1:7" x14ac:dyDescent="0.35">
      <c r="A849" t="s">
        <v>93</v>
      </c>
      <c r="B849" t="s">
        <v>50</v>
      </c>
      <c r="C849" t="s">
        <v>51</v>
      </c>
      <c r="D849" t="s">
        <v>52</v>
      </c>
      <c r="E849" t="s">
        <v>94</v>
      </c>
      <c r="F849" t="s">
        <v>77</v>
      </c>
      <c r="G849" t="s">
        <v>95</v>
      </c>
    </row>
    <row r="850" spans="1:7" x14ac:dyDescent="0.35">
      <c r="A850" t="s">
        <v>1</v>
      </c>
      <c r="B850" t="s">
        <v>135</v>
      </c>
    </row>
    <row r="851" spans="1:7" x14ac:dyDescent="0.35">
      <c r="A851" t="s">
        <v>4</v>
      </c>
    </row>
    <row r="852" spans="1:7" x14ac:dyDescent="0.35">
      <c r="A852" t="s">
        <v>56</v>
      </c>
      <c r="B852" t="s">
        <v>57</v>
      </c>
      <c r="C852" t="s">
        <v>132</v>
      </c>
      <c r="D852" t="s">
        <v>99</v>
      </c>
    </row>
    <row r="853" spans="1:7" x14ac:dyDescent="0.35">
      <c r="A853" t="s">
        <v>1</v>
      </c>
    </row>
    <row r="854" spans="1:7" x14ac:dyDescent="0.35">
      <c r="A854" t="s">
        <v>11</v>
      </c>
    </row>
    <row r="855" spans="1:7" x14ac:dyDescent="0.35">
      <c r="A855" t="s">
        <v>96</v>
      </c>
      <c r="B855" t="s">
        <v>66</v>
      </c>
      <c r="C855" t="s">
        <v>18</v>
      </c>
      <c r="D855" t="s">
        <v>67</v>
      </c>
      <c r="E855" t="s">
        <v>68</v>
      </c>
    </row>
    <row r="856" spans="1:7" x14ac:dyDescent="0.35">
      <c r="A856" t="s">
        <v>50</v>
      </c>
      <c r="B856" t="s">
        <v>51</v>
      </c>
      <c r="C856" t="s">
        <v>52</v>
      </c>
      <c r="D856" t="s">
        <v>63</v>
      </c>
    </row>
    <row r="857" spans="1:7" x14ac:dyDescent="0.35">
      <c r="A857" t="s">
        <v>7</v>
      </c>
    </row>
    <row r="858" spans="1:7" x14ac:dyDescent="0.35">
      <c r="A858" t="s">
        <v>50</v>
      </c>
      <c r="B858" t="s">
        <v>51</v>
      </c>
      <c r="C858" t="s">
        <v>52</v>
      </c>
      <c r="D858" t="s">
        <v>60</v>
      </c>
      <c r="E858" t="s">
        <v>118</v>
      </c>
      <c r="F858" t="s">
        <v>61</v>
      </c>
    </row>
    <row r="859" spans="1:7" x14ac:dyDescent="0.35">
      <c r="A859" t="s">
        <v>18</v>
      </c>
    </row>
    <row r="860" spans="1:7" x14ac:dyDescent="0.35">
      <c r="A860" t="s">
        <v>108</v>
      </c>
      <c r="B860" t="s">
        <v>11</v>
      </c>
    </row>
    <row r="861" spans="1:7" x14ac:dyDescent="0.35">
      <c r="A861" t="s">
        <v>56</v>
      </c>
      <c r="B861" t="s">
        <v>57</v>
      </c>
    </row>
    <row r="862" spans="1:7" x14ac:dyDescent="0.35">
      <c r="A862" t="s">
        <v>155</v>
      </c>
      <c r="B862" t="s">
        <v>156</v>
      </c>
      <c r="C862" t="s">
        <v>157</v>
      </c>
    </row>
    <row r="863" spans="1:7" x14ac:dyDescent="0.35">
      <c r="A863" t="s">
        <v>4</v>
      </c>
    </row>
    <row r="864" spans="1:7" x14ac:dyDescent="0.35">
      <c r="A864" t="s">
        <v>108</v>
      </c>
      <c r="B864" t="s">
        <v>11</v>
      </c>
    </row>
    <row r="865" spans="1:6" x14ac:dyDescent="0.35">
      <c r="A865" t="s">
        <v>50</v>
      </c>
      <c r="B865" t="s">
        <v>51</v>
      </c>
      <c r="C865" t="s">
        <v>52</v>
      </c>
    </row>
    <row r="866" spans="1:6" x14ac:dyDescent="0.35">
      <c r="A866" t="s">
        <v>5</v>
      </c>
    </row>
    <row r="867" spans="1:6" x14ac:dyDescent="0.35">
      <c r="A867" t="s">
        <v>50</v>
      </c>
      <c r="B867" t="s">
        <v>51</v>
      </c>
      <c r="C867" t="s">
        <v>52</v>
      </c>
      <c r="D867" t="s">
        <v>63</v>
      </c>
    </row>
    <row r="868" spans="1:6" x14ac:dyDescent="0.35">
      <c r="A868" t="s">
        <v>2</v>
      </c>
    </row>
    <row r="869" spans="1:6" x14ac:dyDescent="0.35">
      <c r="A869" t="s">
        <v>123</v>
      </c>
      <c r="B869" t="s">
        <v>124</v>
      </c>
      <c r="C869" t="s">
        <v>125</v>
      </c>
    </row>
    <row r="870" spans="1:6" x14ac:dyDescent="0.35">
      <c r="A870" t="s">
        <v>7</v>
      </c>
    </row>
    <row r="871" spans="1:6" x14ac:dyDescent="0.35">
      <c r="A871" t="s">
        <v>159</v>
      </c>
      <c r="B871" t="s">
        <v>11</v>
      </c>
    </row>
    <row r="872" spans="1:6" x14ac:dyDescent="0.35">
      <c r="A872" t="s">
        <v>50</v>
      </c>
      <c r="B872" t="s">
        <v>51</v>
      </c>
      <c r="C872" t="s">
        <v>52</v>
      </c>
      <c r="D872" t="s">
        <v>63</v>
      </c>
    </row>
    <row r="873" spans="1:6" x14ac:dyDescent="0.35">
      <c r="A873" t="s">
        <v>50</v>
      </c>
      <c r="B873" t="s">
        <v>51</v>
      </c>
      <c r="C873" t="s">
        <v>52</v>
      </c>
      <c r="D873" t="s">
        <v>77</v>
      </c>
      <c r="E873" t="s">
        <v>83</v>
      </c>
      <c r="F873" t="s">
        <v>84</v>
      </c>
    </row>
    <row r="874" spans="1:6" x14ac:dyDescent="0.35">
      <c r="A874" t="s">
        <v>126</v>
      </c>
      <c r="B874" t="s">
        <v>127</v>
      </c>
    </row>
    <row r="875" spans="1:6" x14ac:dyDescent="0.35">
      <c r="A875" t="s">
        <v>64</v>
      </c>
      <c r="B875" t="s">
        <v>65</v>
      </c>
      <c r="C875" t="s">
        <v>66</v>
      </c>
      <c r="D875" t="s">
        <v>18</v>
      </c>
      <c r="E875" t="s">
        <v>67</v>
      </c>
      <c r="F875" t="s">
        <v>68</v>
      </c>
    </row>
    <row r="876" spans="1:6" x14ac:dyDescent="0.35">
      <c r="A876" t="s">
        <v>81</v>
      </c>
      <c r="B876" t="s">
        <v>11</v>
      </c>
    </row>
    <row r="877" spans="1:6" x14ac:dyDescent="0.35">
      <c r="A877" t="s">
        <v>11</v>
      </c>
    </row>
    <row r="878" spans="1:6" x14ac:dyDescent="0.35">
      <c r="A878" t="s">
        <v>18</v>
      </c>
      <c r="B878" t="s">
        <v>160</v>
      </c>
    </row>
    <row r="879" spans="1:6" x14ac:dyDescent="0.35">
      <c r="A879" t="s">
        <v>64</v>
      </c>
      <c r="B879" t="s">
        <v>65</v>
      </c>
      <c r="C879" t="s">
        <v>66</v>
      </c>
      <c r="D879" t="s">
        <v>18</v>
      </c>
      <c r="E879" t="s">
        <v>67</v>
      </c>
      <c r="F879" t="s">
        <v>68</v>
      </c>
    </row>
    <row r="880" spans="1:6" x14ac:dyDescent="0.35">
      <c r="A880" t="s">
        <v>56</v>
      </c>
      <c r="B880" t="s">
        <v>57</v>
      </c>
    </row>
    <row r="881" spans="1:7" x14ac:dyDescent="0.35">
      <c r="A881" t="s">
        <v>50</v>
      </c>
      <c r="B881" t="s">
        <v>51</v>
      </c>
      <c r="C881" t="s">
        <v>52</v>
      </c>
      <c r="D881" t="s">
        <v>63</v>
      </c>
    </row>
    <row r="882" spans="1:7" x14ac:dyDescent="0.35">
      <c r="A882" t="s">
        <v>50</v>
      </c>
      <c r="B882" t="s">
        <v>51</v>
      </c>
      <c r="C882" t="s">
        <v>52</v>
      </c>
      <c r="D882" t="s">
        <v>63</v>
      </c>
    </row>
    <row r="883" spans="1:7" x14ac:dyDescent="0.35">
      <c r="A883" t="s">
        <v>50</v>
      </c>
      <c r="B883" t="s">
        <v>51</v>
      </c>
      <c r="C883" t="s">
        <v>52</v>
      </c>
      <c r="D883" t="s">
        <v>63</v>
      </c>
    </row>
    <row r="884" spans="1:7" x14ac:dyDescent="0.35">
      <c r="A884" t="s">
        <v>12</v>
      </c>
    </row>
    <row r="885" spans="1:7" x14ac:dyDescent="0.35">
      <c r="A885" t="s">
        <v>50</v>
      </c>
      <c r="B885" t="s">
        <v>51</v>
      </c>
      <c r="C885" t="s">
        <v>52</v>
      </c>
    </row>
    <row r="886" spans="1:7" x14ac:dyDescent="0.35">
      <c r="A886" t="s">
        <v>3</v>
      </c>
    </row>
    <row r="887" spans="1:7" x14ac:dyDescent="0.35">
      <c r="A887" t="s">
        <v>50</v>
      </c>
      <c r="B887" t="s">
        <v>51</v>
      </c>
      <c r="C887" t="s">
        <v>52</v>
      </c>
    </row>
    <row r="888" spans="1:7" x14ac:dyDescent="0.35">
      <c r="A888" t="s">
        <v>159</v>
      </c>
      <c r="B888" t="s">
        <v>11</v>
      </c>
    </row>
    <row r="889" spans="1:7" x14ac:dyDescent="0.35">
      <c r="A889" t="s">
        <v>50</v>
      </c>
      <c r="B889" t="s">
        <v>51</v>
      </c>
      <c r="C889" t="s">
        <v>52</v>
      </c>
      <c r="D889" t="s">
        <v>63</v>
      </c>
    </row>
    <row r="890" spans="1:7" x14ac:dyDescent="0.35">
      <c r="A890" t="s">
        <v>50</v>
      </c>
      <c r="B890" t="s">
        <v>51</v>
      </c>
      <c r="C890" t="s">
        <v>52</v>
      </c>
    </row>
    <row r="891" spans="1:7" x14ac:dyDescent="0.35">
      <c r="A891" t="s">
        <v>93</v>
      </c>
      <c r="B891" t="s">
        <v>50</v>
      </c>
      <c r="C891" t="s">
        <v>51</v>
      </c>
      <c r="D891" t="s">
        <v>52</v>
      </c>
      <c r="E891" t="s">
        <v>94</v>
      </c>
      <c r="F891" t="s">
        <v>77</v>
      </c>
      <c r="G891" t="s">
        <v>95</v>
      </c>
    </row>
    <row r="892" spans="1:7" x14ac:dyDescent="0.35">
      <c r="A892" t="s">
        <v>50</v>
      </c>
      <c r="B892" t="s">
        <v>51</v>
      </c>
      <c r="C892" t="s">
        <v>82</v>
      </c>
      <c r="D892" t="s">
        <v>52</v>
      </c>
      <c r="E892" t="s">
        <v>77</v>
      </c>
      <c r="F892" t="s">
        <v>83</v>
      </c>
      <c r="G892" t="s">
        <v>84</v>
      </c>
    </row>
    <row r="893" spans="1:7" x14ac:dyDescent="0.35">
      <c r="A893" t="s">
        <v>50</v>
      </c>
      <c r="B893" t="s">
        <v>51</v>
      </c>
      <c r="C893" t="s">
        <v>52</v>
      </c>
    </row>
    <row r="894" spans="1:7" x14ac:dyDescent="0.35">
      <c r="A894" t="s">
        <v>11</v>
      </c>
    </row>
    <row r="895" spans="1:7" x14ac:dyDescent="0.35">
      <c r="A895" t="s">
        <v>93</v>
      </c>
      <c r="B895" t="s">
        <v>50</v>
      </c>
      <c r="C895" t="s">
        <v>51</v>
      </c>
      <c r="D895" t="s">
        <v>52</v>
      </c>
      <c r="E895" t="s">
        <v>94</v>
      </c>
      <c r="F895" t="s">
        <v>77</v>
      </c>
      <c r="G895" t="s">
        <v>95</v>
      </c>
    </row>
    <row r="896" spans="1:7" x14ac:dyDescent="0.35">
      <c r="A896" t="s">
        <v>93</v>
      </c>
      <c r="B896" t="s">
        <v>50</v>
      </c>
      <c r="C896" t="s">
        <v>51</v>
      </c>
      <c r="D896" t="s">
        <v>52</v>
      </c>
      <c r="E896" t="s">
        <v>94</v>
      </c>
      <c r="F896" t="s">
        <v>77</v>
      </c>
      <c r="G896" t="s">
        <v>95</v>
      </c>
    </row>
    <row r="897" spans="1:7" x14ac:dyDescent="0.35">
      <c r="A897" t="s">
        <v>17</v>
      </c>
    </row>
    <row r="898" spans="1:7" x14ac:dyDescent="0.35">
      <c r="A898" t="s">
        <v>64</v>
      </c>
      <c r="B898" t="s">
        <v>65</v>
      </c>
      <c r="C898" t="s">
        <v>158</v>
      </c>
      <c r="D898" t="s">
        <v>66</v>
      </c>
      <c r="E898" t="s">
        <v>18</v>
      </c>
      <c r="F898" t="s">
        <v>67</v>
      </c>
      <c r="G898" t="s">
        <v>68</v>
      </c>
    </row>
    <row r="899" spans="1:7" x14ac:dyDescent="0.35">
      <c r="A899" t="s">
        <v>81</v>
      </c>
      <c r="B899" t="s">
        <v>11</v>
      </c>
    </row>
    <row r="900" spans="1:7" x14ac:dyDescent="0.35">
      <c r="A900" t="s">
        <v>64</v>
      </c>
      <c r="B900" t="s">
        <v>65</v>
      </c>
      <c r="C900" t="s">
        <v>66</v>
      </c>
      <c r="D900" t="s">
        <v>18</v>
      </c>
      <c r="E900" t="s">
        <v>67</v>
      </c>
      <c r="F900" t="s">
        <v>68</v>
      </c>
    </row>
    <row r="901" spans="1:7" x14ac:dyDescent="0.35">
      <c r="A901" t="s">
        <v>8</v>
      </c>
    </row>
    <row r="902" spans="1:7" x14ac:dyDescent="0.35">
      <c r="A902" t="s">
        <v>50</v>
      </c>
      <c r="B902" t="s">
        <v>51</v>
      </c>
      <c r="C902" t="s">
        <v>52</v>
      </c>
      <c r="D902" t="s">
        <v>63</v>
      </c>
    </row>
    <row r="903" spans="1:7" x14ac:dyDescent="0.35">
      <c r="A903" t="s">
        <v>7</v>
      </c>
    </row>
    <row r="904" spans="1:7" x14ac:dyDescent="0.35">
      <c r="A904" t="s">
        <v>20</v>
      </c>
    </row>
    <row r="905" spans="1:7" x14ac:dyDescent="0.35">
      <c r="A905" t="s">
        <v>100</v>
      </c>
      <c r="B905" t="s">
        <v>101</v>
      </c>
      <c r="C905" t="s">
        <v>102</v>
      </c>
    </row>
    <row r="906" spans="1:7" x14ac:dyDescent="0.35">
      <c r="A906" t="s">
        <v>50</v>
      </c>
      <c r="B906" t="s">
        <v>51</v>
      </c>
      <c r="C906" t="s">
        <v>52</v>
      </c>
      <c r="D906" t="s">
        <v>92</v>
      </c>
    </row>
    <row r="907" spans="1:7" x14ac:dyDescent="0.35">
      <c r="A907" t="s">
        <v>7</v>
      </c>
    </row>
    <row r="908" spans="1:7" x14ac:dyDescent="0.35">
      <c r="A908" t="s">
        <v>81</v>
      </c>
      <c r="B908" t="s">
        <v>11</v>
      </c>
    </row>
    <row r="909" spans="1:7" x14ac:dyDescent="0.35">
      <c r="A909" t="s">
        <v>50</v>
      </c>
      <c r="B909" t="s">
        <v>51</v>
      </c>
      <c r="C909" t="s">
        <v>52</v>
      </c>
      <c r="D909" t="s">
        <v>63</v>
      </c>
    </row>
    <row r="910" spans="1:7" x14ac:dyDescent="0.35">
      <c r="A910" t="s">
        <v>50</v>
      </c>
      <c r="B910" t="s">
        <v>51</v>
      </c>
      <c r="C910" t="s">
        <v>52</v>
      </c>
      <c r="D910" t="s">
        <v>98</v>
      </c>
    </row>
    <row r="911" spans="1:7" x14ac:dyDescent="0.35">
      <c r="A911" t="s">
        <v>5</v>
      </c>
    </row>
    <row r="912" spans="1:7" x14ac:dyDescent="0.35">
      <c r="A912" t="s">
        <v>8</v>
      </c>
    </row>
    <row r="913" spans="1:9" x14ac:dyDescent="0.35">
      <c r="A913" t="s">
        <v>50</v>
      </c>
      <c r="B913" t="s">
        <v>51</v>
      </c>
      <c r="C913" t="s">
        <v>52</v>
      </c>
      <c r="D913" t="s">
        <v>60</v>
      </c>
      <c r="E913" t="s">
        <v>61</v>
      </c>
    </row>
    <row r="914" spans="1:9" x14ac:dyDescent="0.35">
      <c r="A914" t="s">
        <v>1</v>
      </c>
      <c r="B914" t="s">
        <v>87</v>
      </c>
      <c r="C914" t="s">
        <v>131</v>
      </c>
    </row>
    <row r="915" spans="1:9" x14ac:dyDescent="0.35">
      <c r="A915" t="s">
        <v>138</v>
      </c>
      <c r="B915" t="s">
        <v>139</v>
      </c>
      <c r="C915" t="s">
        <v>140</v>
      </c>
      <c r="D915" t="s">
        <v>141</v>
      </c>
      <c r="E915" t="s">
        <v>142</v>
      </c>
      <c r="F915" t="s">
        <v>124</v>
      </c>
      <c r="G915" t="s">
        <v>143</v>
      </c>
      <c r="H915" t="s">
        <v>161</v>
      </c>
      <c r="I915" t="s">
        <v>145</v>
      </c>
    </row>
    <row r="916" spans="1:9" x14ac:dyDescent="0.35">
      <c r="A916" t="s">
        <v>3</v>
      </c>
    </row>
    <row r="917" spans="1:9" x14ac:dyDescent="0.35">
      <c r="A917" t="s">
        <v>56</v>
      </c>
      <c r="B917" t="s">
        <v>57</v>
      </c>
    </row>
    <row r="918" spans="1:9" x14ac:dyDescent="0.35">
      <c r="A918" t="s">
        <v>93</v>
      </c>
      <c r="B918" t="s">
        <v>50</v>
      </c>
      <c r="C918" t="s">
        <v>51</v>
      </c>
      <c r="D918" t="s">
        <v>52</v>
      </c>
      <c r="E918" t="s">
        <v>94</v>
      </c>
      <c r="F918" t="s">
        <v>77</v>
      </c>
      <c r="G918" t="s">
        <v>95</v>
      </c>
    </row>
    <row r="919" spans="1:9" x14ac:dyDescent="0.35">
      <c r="A919" t="s">
        <v>50</v>
      </c>
      <c r="B919" t="s">
        <v>51</v>
      </c>
      <c r="C919" t="s">
        <v>52</v>
      </c>
    </row>
    <row r="920" spans="1:9" x14ac:dyDescent="0.35">
      <c r="A920" t="s">
        <v>5</v>
      </c>
    </row>
    <row r="921" spans="1:9" x14ac:dyDescent="0.35">
      <c r="A921" t="s">
        <v>96</v>
      </c>
      <c r="B921" t="s">
        <v>18</v>
      </c>
    </row>
    <row r="922" spans="1:9" x14ac:dyDescent="0.35">
      <c r="A922" t="s">
        <v>1</v>
      </c>
    </row>
    <row r="923" spans="1:9" x14ac:dyDescent="0.35">
      <c r="A923" t="s">
        <v>108</v>
      </c>
      <c r="B923" t="s">
        <v>11</v>
      </c>
    </row>
    <row r="924" spans="1:9" x14ac:dyDescent="0.35">
      <c r="A924" t="s">
        <v>50</v>
      </c>
      <c r="B924" t="s">
        <v>51</v>
      </c>
      <c r="C924" t="s">
        <v>52</v>
      </c>
      <c r="D924" t="s">
        <v>77</v>
      </c>
      <c r="E924" t="s">
        <v>83</v>
      </c>
      <c r="F924" t="s">
        <v>97</v>
      </c>
      <c r="G924" t="s">
        <v>84</v>
      </c>
    </row>
    <row r="925" spans="1:9" x14ac:dyDescent="0.35">
      <c r="A925" t="s">
        <v>3</v>
      </c>
    </row>
    <row r="926" spans="1:9" x14ac:dyDescent="0.35">
      <c r="A926" t="s">
        <v>50</v>
      </c>
      <c r="B926" t="s">
        <v>70</v>
      </c>
      <c r="C926" t="s">
        <v>51</v>
      </c>
      <c r="D926" t="s">
        <v>52</v>
      </c>
      <c r="E926" t="s">
        <v>63</v>
      </c>
      <c r="F926" t="s">
        <v>71</v>
      </c>
    </row>
    <row r="927" spans="1:9" x14ac:dyDescent="0.35">
      <c r="A927" t="s">
        <v>10</v>
      </c>
    </row>
    <row r="928" spans="1:9" x14ac:dyDescent="0.35">
      <c r="A928" t="s">
        <v>50</v>
      </c>
      <c r="B928" t="s">
        <v>51</v>
      </c>
      <c r="C928" t="s">
        <v>52</v>
      </c>
      <c r="D928" t="s">
        <v>92</v>
      </c>
    </row>
    <row r="929" spans="1:6" x14ac:dyDescent="0.35">
      <c r="A929" t="s">
        <v>50</v>
      </c>
      <c r="B929" t="s">
        <v>51</v>
      </c>
      <c r="C929" t="s">
        <v>146</v>
      </c>
      <c r="D929" t="s">
        <v>52</v>
      </c>
      <c r="E929" t="s">
        <v>112</v>
      </c>
    </row>
    <row r="930" spans="1:6" x14ac:dyDescent="0.35">
      <c r="A930" t="s">
        <v>6</v>
      </c>
    </row>
    <row r="931" spans="1:6" x14ac:dyDescent="0.35">
      <c r="A931" t="s">
        <v>4</v>
      </c>
    </row>
    <row r="932" spans="1:6" x14ac:dyDescent="0.35">
      <c r="A932" t="s">
        <v>19</v>
      </c>
    </row>
    <row r="933" spans="1:6" x14ac:dyDescent="0.35">
      <c r="A933" t="s">
        <v>81</v>
      </c>
      <c r="B933" t="s">
        <v>11</v>
      </c>
    </row>
    <row r="934" spans="1:6" x14ac:dyDescent="0.35">
      <c r="A934" t="s">
        <v>10</v>
      </c>
    </row>
    <row r="935" spans="1:6" x14ac:dyDescent="0.35">
      <c r="A935" t="s">
        <v>2</v>
      </c>
    </row>
    <row r="936" spans="1:6" x14ac:dyDescent="0.35">
      <c r="A936" t="s">
        <v>8</v>
      </c>
    </row>
    <row r="937" spans="1:6" x14ac:dyDescent="0.35">
      <c r="A937" t="s">
        <v>50</v>
      </c>
      <c r="B937" t="s">
        <v>51</v>
      </c>
      <c r="C937" t="s">
        <v>52</v>
      </c>
      <c r="D937" t="s">
        <v>136</v>
      </c>
    </row>
    <row r="938" spans="1:6" x14ac:dyDescent="0.35">
      <c r="A938" t="s">
        <v>50</v>
      </c>
      <c r="B938" t="s">
        <v>51</v>
      </c>
      <c r="C938" t="s">
        <v>52</v>
      </c>
    </row>
    <row r="939" spans="1:6" x14ac:dyDescent="0.35">
      <c r="A939" t="s">
        <v>56</v>
      </c>
      <c r="B939" t="s">
        <v>57</v>
      </c>
      <c r="C939" t="s">
        <v>104</v>
      </c>
    </row>
    <row r="940" spans="1:6" x14ac:dyDescent="0.35">
      <c r="A940" t="s">
        <v>64</v>
      </c>
      <c r="B940" t="s">
        <v>65</v>
      </c>
      <c r="C940" t="s">
        <v>66</v>
      </c>
      <c r="D940" t="s">
        <v>18</v>
      </c>
      <c r="E940" t="s">
        <v>67</v>
      </c>
      <c r="F940" t="s">
        <v>68</v>
      </c>
    </row>
    <row r="941" spans="1:6" x14ac:dyDescent="0.35">
      <c r="A941" t="s">
        <v>50</v>
      </c>
      <c r="B941" t="s">
        <v>51</v>
      </c>
      <c r="C941" t="s">
        <v>52</v>
      </c>
    </row>
    <row r="942" spans="1:6" x14ac:dyDescent="0.35">
      <c r="A942" t="s">
        <v>50</v>
      </c>
      <c r="B942" t="s">
        <v>51</v>
      </c>
      <c r="C942" t="s">
        <v>52</v>
      </c>
      <c r="D942" t="s">
        <v>63</v>
      </c>
    </row>
    <row r="943" spans="1:6" x14ac:dyDescent="0.35">
      <c r="A943" t="s">
        <v>2</v>
      </c>
    </row>
    <row r="944" spans="1:6" x14ac:dyDescent="0.35">
      <c r="A944" t="s">
        <v>17</v>
      </c>
    </row>
    <row r="945" spans="1:5" x14ac:dyDescent="0.35">
      <c r="A945" t="s">
        <v>16</v>
      </c>
      <c r="B945" t="s">
        <v>8</v>
      </c>
    </row>
    <row r="946" spans="1:5" x14ac:dyDescent="0.35">
      <c r="A946" t="s">
        <v>151</v>
      </c>
      <c r="B946" t="s">
        <v>152</v>
      </c>
      <c r="C946" t="s">
        <v>153</v>
      </c>
    </row>
    <row r="947" spans="1:5" x14ac:dyDescent="0.35">
      <c r="A947" t="s">
        <v>12</v>
      </c>
    </row>
    <row r="948" spans="1:5" x14ac:dyDescent="0.35">
      <c r="A948" t="s">
        <v>108</v>
      </c>
      <c r="B948" t="s">
        <v>11</v>
      </c>
    </row>
    <row r="949" spans="1:5" x14ac:dyDescent="0.35">
      <c r="A949" t="s">
        <v>4</v>
      </c>
    </row>
    <row r="950" spans="1:5" x14ac:dyDescent="0.35">
      <c r="A950" t="s">
        <v>12</v>
      </c>
    </row>
    <row r="951" spans="1:5" x14ac:dyDescent="0.35">
      <c r="A951" t="s">
        <v>162</v>
      </c>
      <c r="B951" t="s">
        <v>163</v>
      </c>
      <c r="C951" t="s">
        <v>164</v>
      </c>
      <c r="D951" t="s">
        <v>124</v>
      </c>
    </row>
    <row r="952" spans="1:5" x14ac:dyDescent="0.35">
      <c r="A952" t="s">
        <v>50</v>
      </c>
      <c r="B952" t="s">
        <v>51</v>
      </c>
      <c r="C952" t="s">
        <v>52</v>
      </c>
      <c r="D952" t="s">
        <v>63</v>
      </c>
    </row>
    <row r="953" spans="1:5" x14ac:dyDescent="0.35">
      <c r="A953" t="s">
        <v>15</v>
      </c>
    </row>
    <row r="954" spans="1:5" x14ac:dyDescent="0.35">
      <c r="A954" t="s">
        <v>64</v>
      </c>
      <c r="B954" t="s">
        <v>66</v>
      </c>
      <c r="C954" t="s">
        <v>18</v>
      </c>
      <c r="D954" t="s">
        <v>67</v>
      </c>
      <c r="E954" t="s">
        <v>68</v>
      </c>
    </row>
    <row r="955" spans="1:5" x14ac:dyDescent="0.35">
      <c r="A955" t="s">
        <v>50</v>
      </c>
      <c r="B955" t="s">
        <v>51</v>
      </c>
      <c r="C955" t="s">
        <v>52</v>
      </c>
      <c r="D955" t="s">
        <v>63</v>
      </c>
    </row>
    <row r="956" spans="1:5" x14ac:dyDescent="0.35">
      <c r="A956" t="s">
        <v>50</v>
      </c>
      <c r="B956" t="s">
        <v>51</v>
      </c>
      <c r="C956" t="s">
        <v>52</v>
      </c>
      <c r="D956" t="s">
        <v>112</v>
      </c>
    </row>
    <row r="957" spans="1:5" x14ac:dyDescent="0.35">
      <c r="A957" t="s">
        <v>96</v>
      </c>
      <c r="B957" t="s">
        <v>18</v>
      </c>
    </row>
    <row r="958" spans="1:5" x14ac:dyDescent="0.35">
      <c r="A958" t="s">
        <v>50</v>
      </c>
      <c r="B958" t="s">
        <v>51</v>
      </c>
      <c r="C958" t="s">
        <v>52</v>
      </c>
    </row>
    <row r="959" spans="1:5" x14ac:dyDescent="0.35">
      <c r="A959" t="s">
        <v>81</v>
      </c>
      <c r="B959" t="s">
        <v>11</v>
      </c>
    </row>
    <row r="960" spans="1:5" x14ac:dyDescent="0.35">
      <c r="A960" t="s">
        <v>1</v>
      </c>
    </row>
    <row r="961" spans="1:5" x14ac:dyDescent="0.35">
      <c r="A961" t="s">
        <v>50</v>
      </c>
      <c r="B961" t="s">
        <v>51</v>
      </c>
      <c r="C961" t="s">
        <v>52</v>
      </c>
      <c r="D961" t="s">
        <v>63</v>
      </c>
    </row>
    <row r="962" spans="1:5" x14ac:dyDescent="0.35">
      <c r="A962" t="s">
        <v>3</v>
      </c>
    </row>
    <row r="963" spans="1:5" x14ac:dyDescent="0.35">
      <c r="A963" t="s">
        <v>64</v>
      </c>
      <c r="B963" t="s">
        <v>66</v>
      </c>
      <c r="C963" t="s">
        <v>18</v>
      </c>
      <c r="D963" t="s">
        <v>67</v>
      </c>
      <c r="E963" t="s">
        <v>68</v>
      </c>
    </row>
    <row r="964" spans="1:5" x14ac:dyDescent="0.35">
      <c r="A964" t="s">
        <v>18</v>
      </c>
    </row>
    <row r="965" spans="1:5" x14ac:dyDescent="0.35">
      <c r="A965" t="s">
        <v>50</v>
      </c>
      <c r="B965" t="s">
        <v>51</v>
      </c>
      <c r="C965" t="s">
        <v>52</v>
      </c>
    </row>
    <row r="966" spans="1:5" x14ac:dyDescent="0.35">
      <c r="A966" t="s">
        <v>50</v>
      </c>
      <c r="B966" t="s">
        <v>51</v>
      </c>
      <c r="C966" t="s">
        <v>52</v>
      </c>
      <c r="D966" t="s">
        <v>80</v>
      </c>
    </row>
    <row r="967" spans="1:5" x14ac:dyDescent="0.35">
      <c r="A967" t="s">
        <v>50</v>
      </c>
      <c r="B967" t="s">
        <v>51</v>
      </c>
      <c r="C967" t="s">
        <v>52</v>
      </c>
      <c r="D967" t="s">
        <v>63</v>
      </c>
    </row>
    <row r="968" spans="1:5" x14ac:dyDescent="0.35">
      <c r="A968" t="s">
        <v>1</v>
      </c>
    </row>
    <row r="969" spans="1:5" x14ac:dyDescent="0.35">
      <c r="A969" t="s">
        <v>6</v>
      </c>
    </row>
    <row r="970" spans="1:5" x14ac:dyDescent="0.35">
      <c r="A970" t="s">
        <v>5</v>
      </c>
    </row>
    <row r="971" spans="1:5" x14ac:dyDescent="0.35">
      <c r="A971" t="s">
        <v>10</v>
      </c>
    </row>
    <row r="972" spans="1:5" x14ac:dyDescent="0.35">
      <c r="A972" t="s">
        <v>96</v>
      </c>
      <c r="B972" t="s">
        <v>18</v>
      </c>
    </row>
    <row r="973" spans="1:5" x14ac:dyDescent="0.35">
      <c r="A973" t="s">
        <v>56</v>
      </c>
      <c r="B973" t="s">
        <v>57</v>
      </c>
    </row>
    <row r="974" spans="1:5" x14ac:dyDescent="0.35">
      <c r="A974" t="s">
        <v>96</v>
      </c>
      <c r="B974" t="s">
        <v>18</v>
      </c>
    </row>
    <row r="975" spans="1:5" x14ac:dyDescent="0.35">
      <c r="A975" t="s">
        <v>81</v>
      </c>
      <c r="B975" t="s">
        <v>11</v>
      </c>
    </row>
    <row r="976" spans="1:5" x14ac:dyDescent="0.35">
      <c r="A976" t="s">
        <v>6</v>
      </c>
    </row>
    <row r="977" spans="1:5" x14ac:dyDescent="0.35">
      <c r="A977" t="s">
        <v>50</v>
      </c>
      <c r="B977" t="s">
        <v>51</v>
      </c>
      <c r="C977" t="s">
        <v>52</v>
      </c>
      <c r="D977" t="s">
        <v>63</v>
      </c>
    </row>
    <row r="978" spans="1:5" x14ac:dyDescent="0.35">
      <c r="A978" t="s">
        <v>50</v>
      </c>
      <c r="B978" t="s">
        <v>51</v>
      </c>
      <c r="C978" t="s">
        <v>52</v>
      </c>
    </row>
    <row r="979" spans="1:5" x14ac:dyDescent="0.35">
      <c r="A979" t="s">
        <v>50</v>
      </c>
      <c r="B979" t="s">
        <v>51</v>
      </c>
      <c r="C979" t="s">
        <v>52</v>
      </c>
      <c r="D979" t="s">
        <v>60</v>
      </c>
      <c r="E979" t="s">
        <v>61</v>
      </c>
    </row>
    <row r="980" spans="1:5" x14ac:dyDescent="0.35">
      <c r="A980" t="s">
        <v>50</v>
      </c>
      <c r="B980" t="s">
        <v>51</v>
      </c>
      <c r="C980" t="s">
        <v>52</v>
      </c>
    </row>
    <row r="981" spans="1:5" x14ac:dyDescent="0.35">
      <c r="A981" t="s">
        <v>4</v>
      </c>
    </row>
    <row r="982" spans="1:5" x14ac:dyDescent="0.35">
      <c r="A982" t="s">
        <v>12</v>
      </c>
    </row>
    <row r="983" spans="1:5" x14ac:dyDescent="0.35">
      <c r="A983" t="s">
        <v>1</v>
      </c>
    </row>
    <row r="984" spans="1:5" x14ac:dyDescent="0.35">
      <c r="A984" t="s">
        <v>96</v>
      </c>
      <c r="B984" t="s">
        <v>18</v>
      </c>
    </row>
    <row r="985" spans="1:5" x14ac:dyDescent="0.35">
      <c r="A985" t="s">
        <v>159</v>
      </c>
      <c r="B985" t="s">
        <v>11</v>
      </c>
    </row>
    <row r="986" spans="1:5" x14ac:dyDescent="0.35">
      <c r="A986" t="s">
        <v>3</v>
      </c>
    </row>
    <row r="987" spans="1:5" x14ac:dyDescent="0.35">
      <c r="A987" t="s">
        <v>50</v>
      </c>
      <c r="B987" t="s">
        <v>51</v>
      </c>
      <c r="C987" t="s">
        <v>52</v>
      </c>
      <c r="D987" t="s">
        <v>61</v>
      </c>
    </row>
    <row r="988" spans="1:5" x14ac:dyDescent="0.35">
      <c r="A988" t="s">
        <v>96</v>
      </c>
      <c r="B988" t="s">
        <v>18</v>
      </c>
    </row>
    <row r="989" spans="1:5" x14ac:dyDescent="0.35">
      <c r="A989" t="s">
        <v>12</v>
      </c>
    </row>
    <row r="990" spans="1:5" x14ac:dyDescent="0.35">
      <c r="A990" t="s">
        <v>18</v>
      </c>
      <c r="B990" t="s">
        <v>160</v>
      </c>
    </row>
    <row r="991" spans="1:5" x14ac:dyDescent="0.35">
      <c r="A991" t="s">
        <v>17</v>
      </c>
    </row>
    <row r="992" spans="1:5" x14ac:dyDescent="0.35">
      <c r="A992" t="s">
        <v>50</v>
      </c>
      <c r="B992" t="s">
        <v>51</v>
      </c>
      <c r="C992" t="s">
        <v>52</v>
      </c>
    </row>
    <row r="993" spans="1:5" x14ac:dyDescent="0.35">
      <c r="A993" t="s">
        <v>1</v>
      </c>
    </row>
    <row r="994" spans="1:5" x14ac:dyDescent="0.35">
      <c r="A994" t="s">
        <v>50</v>
      </c>
      <c r="B994" t="s">
        <v>51</v>
      </c>
      <c r="C994" t="s">
        <v>52</v>
      </c>
    </row>
    <row r="995" spans="1:5" x14ac:dyDescent="0.35">
      <c r="A995" t="s">
        <v>50</v>
      </c>
      <c r="B995" t="s">
        <v>51</v>
      </c>
      <c r="C995" t="s">
        <v>52</v>
      </c>
    </row>
    <row r="996" spans="1:5" x14ac:dyDescent="0.35">
      <c r="A996" t="s">
        <v>50</v>
      </c>
      <c r="B996" t="s">
        <v>51</v>
      </c>
      <c r="C996" t="s">
        <v>52</v>
      </c>
      <c r="D996" t="s">
        <v>136</v>
      </c>
    </row>
    <row r="997" spans="1:5" x14ac:dyDescent="0.35">
      <c r="A997" t="s">
        <v>50</v>
      </c>
      <c r="B997" t="s">
        <v>51</v>
      </c>
      <c r="C997" t="s">
        <v>52</v>
      </c>
      <c r="D997" t="s">
        <v>63</v>
      </c>
    </row>
    <row r="998" spans="1:5" x14ac:dyDescent="0.35">
      <c r="A998" t="s">
        <v>50</v>
      </c>
      <c r="B998" t="s">
        <v>51</v>
      </c>
      <c r="C998" t="s">
        <v>52</v>
      </c>
    </row>
    <row r="999" spans="1:5" x14ac:dyDescent="0.35">
      <c r="A999" t="s">
        <v>81</v>
      </c>
      <c r="B999" t="s">
        <v>11</v>
      </c>
    </row>
    <row r="1000" spans="1:5" x14ac:dyDescent="0.35">
      <c r="A1000" t="s">
        <v>17</v>
      </c>
    </row>
    <row r="1001" spans="1:5" x14ac:dyDescent="0.35">
      <c r="A1001" t="s">
        <v>50</v>
      </c>
      <c r="B1001" t="s">
        <v>51</v>
      </c>
      <c r="C1001" t="s">
        <v>52</v>
      </c>
      <c r="D1001" t="s">
        <v>112</v>
      </c>
    </row>
    <row r="1002" spans="1:5" x14ac:dyDescent="0.35">
      <c r="A1002" t="s">
        <v>81</v>
      </c>
      <c r="B1002" t="s">
        <v>11</v>
      </c>
    </row>
    <row r="1003" spans="1:5" x14ac:dyDescent="0.35">
      <c r="A1003" t="s">
        <v>165</v>
      </c>
      <c r="B1003" t="s">
        <v>1</v>
      </c>
    </row>
    <row r="1004" spans="1:5" x14ac:dyDescent="0.35">
      <c r="A1004" t="s">
        <v>50</v>
      </c>
      <c r="B1004" t="s">
        <v>51</v>
      </c>
      <c r="C1004" t="s">
        <v>52</v>
      </c>
      <c r="D1004" t="s">
        <v>72</v>
      </c>
      <c r="E1004" t="s">
        <v>73</v>
      </c>
    </row>
    <row r="1005" spans="1:5" x14ac:dyDescent="0.35">
      <c r="A1005" t="s">
        <v>1</v>
      </c>
    </row>
    <row r="1006" spans="1:5" x14ac:dyDescent="0.35">
      <c r="A1006" t="s">
        <v>64</v>
      </c>
      <c r="B1006" t="s">
        <v>18</v>
      </c>
    </row>
    <row r="1007" spans="1:5" x14ac:dyDescent="0.35">
      <c r="A1007" t="s">
        <v>3</v>
      </c>
    </row>
    <row r="1008" spans="1:5" x14ac:dyDescent="0.35">
      <c r="A1008" t="s">
        <v>4</v>
      </c>
    </row>
    <row r="1009" spans="1:6" x14ac:dyDescent="0.35">
      <c r="A1009" t="s">
        <v>12</v>
      </c>
    </row>
    <row r="1010" spans="1:6" x14ac:dyDescent="0.35">
      <c r="A1010" t="s">
        <v>9</v>
      </c>
    </row>
    <row r="1011" spans="1:6" x14ac:dyDescent="0.35">
      <c r="A1011" t="s">
        <v>64</v>
      </c>
      <c r="B1011" t="s">
        <v>65</v>
      </c>
      <c r="C1011" t="s">
        <v>66</v>
      </c>
      <c r="D1011" t="s">
        <v>18</v>
      </c>
      <c r="E1011" t="s">
        <v>67</v>
      </c>
      <c r="F1011" t="s">
        <v>68</v>
      </c>
    </row>
    <row r="1012" spans="1:6" x14ac:dyDescent="0.35">
      <c r="A1012" t="s">
        <v>11</v>
      </c>
    </row>
    <row r="1013" spans="1:6" x14ac:dyDescent="0.35">
      <c r="A1013" t="s">
        <v>64</v>
      </c>
      <c r="B1013" t="s">
        <v>66</v>
      </c>
      <c r="C1013" t="s">
        <v>18</v>
      </c>
      <c r="D1013" t="s">
        <v>67</v>
      </c>
      <c r="E1013" t="s">
        <v>68</v>
      </c>
    </row>
    <row r="1014" spans="1:6" x14ac:dyDescent="0.35">
      <c r="A1014" t="s">
        <v>50</v>
      </c>
      <c r="B1014" t="s">
        <v>51</v>
      </c>
      <c r="C1014" t="s">
        <v>52</v>
      </c>
      <c r="D1014" t="s">
        <v>72</v>
      </c>
      <c r="E1014" t="s">
        <v>73</v>
      </c>
    </row>
    <row r="1015" spans="1:6" x14ac:dyDescent="0.35">
      <c r="A1015" t="s">
        <v>56</v>
      </c>
      <c r="B1015" t="s">
        <v>57</v>
      </c>
      <c r="C1015" t="s">
        <v>104</v>
      </c>
    </row>
    <row r="1016" spans="1:6" x14ac:dyDescent="0.35">
      <c r="A1016" t="s">
        <v>166</v>
      </c>
      <c r="B1016" t="s">
        <v>167</v>
      </c>
      <c r="C1016" t="s">
        <v>168</v>
      </c>
      <c r="D1016" t="s">
        <v>169</v>
      </c>
    </row>
    <row r="1017" spans="1:6" x14ac:dyDescent="0.35">
      <c r="A1017" t="s">
        <v>1</v>
      </c>
    </row>
    <row r="1018" spans="1:6" x14ac:dyDescent="0.35">
      <c r="A1018" t="s">
        <v>8</v>
      </c>
    </row>
    <row r="1019" spans="1:6" x14ac:dyDescent="0.35">
      <c r="A1019" t="s">
        <v>81</v>
      </c>
      <c r="B1019" t="s">
        <v>11</v>
      </c>
    </row>
    <row r="1020" spans="1:6" x14ac:dyDescent="0.35">
      <c r="A1020" t="s">
        <v>23</v>
      </c>
    </row>
    <row r="1021" spans="1:6" x14ac:dyDescent="0.35">
      <c r="A1021" t="s">
        <v>10</v>
      </c>
    </row>
    <row r="1022" spans="1:6" x14ac:dyDescent="0.35">
      <c r="A1022" t="s">
        <v>50</v>
      </c>
      <c r="B1022" t="s">
        <v>51</v>
      </c>
      <c r="C1022" t="s">
        <v>52</v>
      </c>
      <c r="D1022" t="s">
        <v>63</v>
      </c>
    </row>
    <row r="1023" spans="1:6" x14ac:dyDescent="0.35">
      <c r="A1023" t="s">
        <v>50</v>
      </c>
      <c r="B1023" t="s">
        <v>51</v>
      </c>
      <c r="C1023" t="s">
        <v>52</v>
      </c>
      <c r="D1023" t="s">
        <v>63</v>
      </c>
    </row>
    <row r="1024" spans="1:6" x14ac:dyDescent="0.35">
      <c r="A1024" t="s">
        <v>50</v>
      </c>
      <c r="B1024" t="s">
        <v>51</v>
      </c>
      <c r="C1024" t="s">
        <v>52</v>
      </c>
    </row>
    <row r="1025" spans="1:4" x14ac:dyDescent="0.35">
      <c r="A1025" t="s">
        <v>50</v>
      </c>
      <c r="B1025" t="s">
        <v>51</v>
      </c>
      <c r="C1025" t="s">
        <v>52</v>
      </c>
      <c r="D1025" t="s">
        <v>63</v>
      </c>
    </row>
    <row r="1026" spans="1:4" x14ac:dyDescent="0.35">
      <c r="A1026" t="s">
        <v>81</v>
      </c>
      <c r="B1026" t="s">
        <v>11</v>
      </c>
    </row>
    <row r="1027" spans="1:4" x14ac:dyDescent="0.35">
      <c r="A1027" t="s">
        <v>50</v>
      </c>
      <c r="B1027" t="s">
        <v>51</v>
      </c>
      <c r="C1027" t="s">
        <v>52</v>
      </c>
    </row>
    <row r="1028" spans="1:4" x14ac:dyDescent="0.35">
      <c r="A1028" t="s">
        <v>10</v>
      </c>
    </row>
    <row r="1029" spans="1:4" x14ac:dyDescent="0.35">
      <c r="A1029" t="s">
        <v>64</v>
      </c>
      <c r="B1029" t="s">
        <v>65</v>
      </c>
      <c r="C1029" t="s">
        <v>18</v>
      </c>
    </row>
    <row r="1030" spans="1:4" x14ac:dyDescent="0.35">
      <c r="A1030" t="s">
        <v>1</v>
      </c>
      <c r="B1030" t="s">
        <v>87</v>
      </c>
      <c r="C1030" t="s">
        <v>170</v>
      </c>
    </row>
    <row r="1031" spans="1:4" x14ac:dyDescent="0.35">
      <c r="A1031" t="s">
        <v>96</v>
      </c>
      <c r="B1031" t="s">
        <v>18</v>
      </c>
    </row>
    <row r="1032" spans="1:4" x14ac:dyDescent="0.35">
      <c r="A1032" t="s">
        <v>50</v>
      </c>
      <c r="B1032" t="s">
        <v>51</v>
      </c>
      <c r="C1032" t="s">
        <v>52</v>
      </c>
      <c r="D1032" t="s">
        <v>63</v>
      </c>
    </row>
    <row r="1033" spans="1:4" x14ac:dyDescent="0.35">
      <c r="A1033" t="s">
        <v>81</v>
      </c>
      <c r="B1033" t="s">
        <v>11</v>
      </c>
    </row>
    <row r="1034" spans="1:4" x14ac:dyDescent="0.35">
      <c r="A1034" t="s">
        <v>20</v>
      </c>
    </row>
    <row r="1035" spans="1:4" x14ac:dyDescent="0.35">
      <c r="A1035" t="s">
        <v>2</v>
      </c>
    </row>
    <row r="1036" spans="1:4" x14ac:dyDescent="0.35">
      <c r="A1036" t="s">
        <v>10</v>
      </c>
    </row>
    <row r="1037" spans="1:4" x14ac:dyDescent="0.35">
      <c r="A1037" t="s">
        <v>50</v>
      </c>
      <c r="B1037" t="s">
        <v>51</v>
      </c>
      <c r="C1037" t="s">
        <v>52</v>
      </c>
      <c r="D1037" t="s">
        <v>80</v>
      </c>
    </row>
    <row r="1038" spans="1:4" x14ac:dyDescent="0.35">
      <c r="A1038" t="s">
        <v>50</v>
      </c>
      <c r="B1038" t="s">
        <v>51</v>
      </c>
      <c r="C1038" t="s">
        <v>52</v>
      </c>
      <c r="D1038" t="s">
        <v>63</v>
      </c>
    </row>
    <row r="1039" spans="1:4" x14ac:dyDescent="0.35">
      <c r="A1039" t="s">
        <v>18</v>
      </c>
      <c r="B1039" t="s">
        <v>160</v>
      </c>
    </row>
    <row r="1040" spans="1:4" x14ac:dyDescent="0.35">
      <c r="A1040" t="s">
        <v>17</v>
      </c>
    </row>
    <row r="1041" spans="1:7" x14ac:dyDescent="0.35">
      <c r="A1041" t="s">
        <v>3</v>
      </c>
    </row>
    <row r="1042" spans="1:7" x14ac:dyDescent="0.35">
      <c r="A1042" t="s">
        <v>50</v>
      </c>
      <c r="B1042" t="s">
        <v>51</v>
      </c>
      <c r="C1042" t="s">
        <v>52</v>
      </c>
      <c r="D1042" t="s">
        <v>63</v>
      </c>
    </row>
    <row r="1043" spans="1:7" x14ac:dyDescent="0.35">
      <c r="A1043" t="s">
        <v>109</v>
      </c>
      <c r="B1043" t="s">
        <v>110</v>
      </c>
      <c r="C1043" t="s">
        <v>111</v>
      </c>
    </row>
    <row r="1044" spans="1:7" x14ac:dyDescent="0.35">
      <c r="A1044" t="s">
        <v>50</v>
      </c>
      <c r="B1044" t="s">
        <v>51</v>
      </c>
      <c r="C1044" t="s">
        <v>52</v>
      </c>
      <c r="D1044" t="s">
        <v>63</v>
      </c>
    </row>
    <row r="1045" spans="1:7" x14ac:dyDescent="0.35">
      <c r="A1045" t="s">
        <v>7</v>
      </c>
    </row>
    <row r="1046" spans="1:7" x14ac:dyDescent="0.35">
      <c r="A1046" t="s">
        <v>64</v>
      </c>
      <c r="B1046" t="s">
        <v>65</v>
      </c>
      <c r="C1046" t="s">
        <v>66</v>
      </c>
      <c r="D1046" t="s">
        <v>18</v>
      </c>
      <c r="E1046" t="s">
        <v>129</v>
      </c>
      <c r="F1046" t="s">
        <v>67</v>
      </c>
      <c r="G1046" t="s">
        <v>68</v>
      </c>
    </row>
    <row r="1047" spans="1:7" x14ac:dyDescent="0.35">
      <c r="A1047" t="s">
        <v>7</v>
      </c>
    </row>
    <row r="1048" spans="1:7" x14ac:dyDescent="0.35">
      <c r="A1048" t="s">
        <v>109</v>
      </c>
      <c r="B1048" t="s">
        <v>110</v>
      </c>
      <c r="C1048" t="s">
        <v>111</v>
      </c>
    </row>
    <row r="1049" spans="1:7" x14ac:dyDescent="0.35">
      <c r="A1049" t="s">
        <v>109</v>
      </c>
      <c r="B1049" t="s">
        <v>110</v>
      </c>
      <c r="C1049" t="s">
        <v>111</v>
      </c>
    </row>
    <row r="1050" spans="1:7" x14ac:dyDescent="0.35">
      <c r="A1050" t="s">
        <v>50</v>
      </c>
      <c r="B1050" t="s">
        <v>51</v>
      </c>
      <c r="C1050" t="s">
        <v>52</v>
      </c>
      <c r="D1050" t="s">
        <v>63</v>
      </c>
    </row>
    <row r="1051" spans="1:7" x14ac:dyDescent="0.35">
      <c r="A1051" t="s">
        <v>12</v>
      </c>
    </row>
    <row r="1052" spans="1:7" x14ac:dyDescent="0.35">
      <c r="A1052" t="s">
        <v>50</v>
      </c>
      <c r="B1052" t="s">
        <v>51</v>
      </c>
      <c r="C1052" t="s">
        <v>52</v>
      </c>
      <c r="D1052" t="s">
        <v>63</v>
      </c>
    </row>
    <row r="1053" spans="1:7" x14ac:dyDescent="0.35">
      <c r="A1053" t="s">
        <v>1</v>
      </c>
      <c r="B1053" t="s">
        <v>87</v>
      </c>
      <c r="C1053" t="s">
        <v>131</v>
      </c>
    </row>
    <row r="1054" spans="1:7" x14ac:dyDescent="0.35">
      <c r="A1054" t="s">
        <v>7</v>
      </c>
    </row>
    <row r="1055" spans="1:7" x14ac:dyDescent="0.35">
      <c r="A1055" t="s">
        <v>123</v>
      </c>
      <c r="B1055" t="s">
        <v>124</v>
      </c>
      <c r="C1055" t="s">
        <v>125</v>
      </c>
    </row>
    <row r="1056" spans="1:7" x14ac:dyDescent="0.35">
      <c r="A1056" t="s">
        <v>50</v>
      </c>
      <c r="B1056" t="s">
        <v>51</v>
      </c>
      <c r="C1056" t="s">
        <v>52</v>
      </c>
      <c r="D1056" t="s">
        <v>60</v>
      </c>
      <c r="E1056" t="s">
        <v>61</v>
      </c>
    </row>
    <row r="1057" spans="1:3" x14ac:dyDescent="0.35">
      <c r="A1057" t="s">
        <v>50</v>
      </c>
      <c r="B1057" t="s">
        <v>51</v>
      </c>
      <c r="C1057" t="s">
        <v>52</v>
      </c>
    </row>
    <row r="1058" spans="1:3" x14ac:dyDescent="0.35">
      <c r="A1058" t="s">
        <v>6</v>
      </c>
    </row>
    <row r="1059" spans="1:3" x14ac:dyDescent="0.35">
      <c r="A1059" t="s">
        <v>50</v>
      </c>
      <c r="B1059" t="s">
        <v>51</v>
      </c>
      <c r="C1059" t="s">
        <v>52</v>
      </c>
    </row>
    <row r="1060" spans="1:3" x14ac:dyDescent="0.35">
      <c r="A1060" t="s">
        <v>50</v>
      </c>
      <c r="B1060" t="s">
        <v>51</v>
      </c>
      <c r="C1060" t="s">
        <v>52</v>
      </c>
    </row>
    <row r="1061" spans="1:3" x14ac:dyDescent="0.35">
      <c r="A1061" t="s">
        <v>50</v>
      </c>
      <c r="B1061" t="s">
        <v>51</v>
      </c>
      <c r="C1061" t="s">
        <v>52</v>
      </c>
    </row>
    <row r="1062" spans="1:3" x14ac:dyDescent="0.35">
      <c r="A1062" t="s">
        <v>7</v>
      </c>
    </row>
    <row r="1063" spans="1:3" x14ac:dyDescent="0.35">
      <c r="A1063" t="s">
        <v>17</v>
      </c>
    </row>
    <row r="1064" spans="1:3" x14ac:dyDescent="0.35">
      <c r="A1064" t="s">
        <v>7</v>
      </c>
    </row>
    <row r="1065" spans="1:3" x14ac:dyDescent="0.35">
      <c r="A1065" t="s">
        <v>96</v>
      </c>
      <c r="B1065" t="s">
        <v>18</v>
      </c>
    </row>
    <row r="1066" spans="1:3" x14ac:dyDescent="0.35">
      <c r="A1066" t="s">
        <v>15</v>
      </c>
    </row>
    <row r="1067" spans="1:3" x14ac:dyDescent="0.35">
      <c r="A1067" t="s">
        <v>20</v>
      </c>
    </row>
    <row r="1068" spans="1:3" x14ac:dyDescent="0.35">
      <c r="A1068" t="s">
        <v>17</v>
      </c>
    </row>
    <row r="1069" spans="1:3" x14ac:dyDescent="0.35">
      <c r="A1069" t="s">
        <v>24</v>
      </c>
    </row>
    <row r="1070" spans="1:3" x14ac:dyDescent="0.35">
      <c r="A1070" t="s">
        <v>18</v>
      </c>
      <c r="B1070" t="s">
        <v>130</v>
      </c>
    </row>
    <row r="1071" spans="1:3" x14ac:dyDescent="0.35">
      <c r="A1071" t="s">
        <v>1</v>
      </c>
      <c r="B1071" t="s">
        <v>87</v>
      </c>
      <c r="C1071" t="s">
        <v>170</v>
      </c>
    </row>
    <row r="1072" spans="1:3" x14ac:dyDescent="0.35">
      <c r="A1072" t="s">
        <v>3</v>
      </c>
      <c r="B1072" t="s">
        <v>117</v>
      </c>
    </row>
    <row r="1073" spans="1:7" x14ac:dyDescent="0.35">
      <c r="A1073" t="s">
        <v>105</v>
      </c>
      <c r="B1073" t="s">
        <v>137</v>
      </c>
      <c r="C1073" t="s">
        <v>11</v>
      </c>
    </row>
    <row r="1074" spans="1:7" x14ac:dyDescent="0.35">
      <c r="A1074" t="s">
        <v>3</v>
      </c>
    </row>
    <row r="1075" spans="1:7" x14ac:dyDescent="0.35">
      <c r="A1075" t="s">
        <v>56</v>
      </c>
      <c r="B1075" t="s">
        <v>57</v>
      </c>
      <c r="C1075" t="s">
        <v>171</v>
      </c>
      <c r="D1075" t="s">
        <v>172</v>
      </c>
      <c r="E1075" t="s">
        <v>173</v>
      </c>
    </row>
    <row r="1076" spans="1:7" x14ac:dyDescent="0.35">
      <c r="A1076" t="s">
        <v>174</v>
      </c>
      <c r="B1076" t="s">
        <v>151</v>
      </c>
      <c r="C1076" t="s">
        <v>152</v>
      </c>
      <c r="D1076" t="s">
        <v>153</v>
      </c>
    </row>
    <row r="1077" spans="1:7" x14ac:dyDescent="0.35">
      <c r="A1077" t="s">
        <v>13</v>
      </c>
    </row>
    <row r="1078" spans="1:7" x14ac:dyDescent="0.35">
      <c r="A1078" t="s">
        <v>2</v>
      </c>
    </row>
    <row r="1079" spans="1:7" x14ac:dyDescent="0.35">
      <c r="A1079" t="s">
        <v>12</v>
      </c>
    </row>
    <row r="1080" spans="1:7" x14ac:dyDescent="0.35">
      <c r="A1080" t="s">
        <v>148</v>
      </c>
      <c r="B1080" t="s">
        <v>18</v>
      </c>
    </row>
    <row r="1081" spans="1:7" x14ac:dyDescent="0.35">
      <c r="A1081" t="s">
        <v>123</v>
      </c>
      <c r="B1081" t="s">
        <v>175</v>
      </c>
      <c r="C1081" t="s">
        <v>124</v>
      </c>
      <c r="D1081" t="s">
        <v>125</v>
      </c>
    </row>
    <row r="1082" spans="1:7" x14ac:dyDescent="0.35">
      <c r="A1082" t="s">
        <v>50</v>
      </c>
      <c r="B1082" t="s">
        <v>51</v>
      </c>
      <c r="C1082" t="s">
        <v>52</v>
      </c>
      <c r="D1082" t="s">
        <v>77</v>
      </c>
      <c r="E1082" t="s">
        <v>83</v>
      </c>
      <c r="F1082" t="s">
        <v>84</v>
      </c>
    </row>
    <row r="1083" spans="1:7" x14ac:dyDescent="0.35">
      <c r="A1083" t="s">
        <v>64</v>
      </c>
      <c r="B1083" t="s">
        <v>65</v>
      </c>
      <c r="C1083" t="s">
        <v>66</v>
      </c>
      <c r="D1083" t="s">
        <v>18</v>
      </c>
      <c r="E1083" t="s">
        <v>67</v>
      </c>
      <c r="F1083" t="s">
        <v>68</v>
      </c>
    </row>
    <row r="1084" spans="1:7" x14ac:dyDescent="0.35">
      <c r="A1084" t="s">
        <v>50</v>
      </c>
      <c r="B1084" t="s">
        <v>51</v>
      </c>
      <c r="C1084" t="s">
        <v>52</v>
      </c>
      <c r="D1084" t="s">
        <v>77</v>
      </c>
      <c r="E1084" t="s">
        <v>116</v>
      </c>
    </row>
    <row r="1085" spans="1:7" x14ac:dyDescent="0.35">
      <c r="A1085" t="s">
        <v>108</v>
      </c>
      <c r="B1085" t="s">
        <v>11</v>
      </c>
    </row>
    <row r="1086" spans="1:7" x14ac:dyDescent="0.35">
      <c r="A1086" t="s">
        <v>50</v>
      </c>
      <c r="B1086" t="s">
        <v>51</v>
      </c>
      <c r="C1086" t="s">
        <v>52</v>
      </c>
      <c r="D1086" t="s">
        <v>61</v>
      </c>
    </row>
    <row r="1087" spans="1:7" x14ac:dyDescent="0.35">
      <c r="A1087" t="s">
        <v>50</v>
      </c>
      <c r="B1087" t="s">
        <v>51</v>
      </c>
      <c r="C1087" t="s">
        <v>52</v>
      </c>
      <c r="D1087" t="s">
        <v>63</v>
      </c>
    </row>
    <row r="1088" spans="1:7" x14ac:dyDescent="0.35">
      <c r="A1088" t="s">
        <v>93</v>
      </c>
      <c r="B1088" t="s">
        <v>50</v>
      </c>
      <c r="C1088" t="s">
        <v>51</v>
      </c>
      <c r="D1088" t="s">
        <v>52</v>
      </c>
      <c r="E1088" t="s">
        <v>94</v>
      </c>
      <c r="F1088" t="s">
        <v>77</v>
      </c>
      <c r="G1088" t="s">
        <v>95</v>
      </c>
    </row>
    <row r="1089" spans="1:5" x14ac:dyDescent="0.35">
      <c r="A1089" t="s">
        <v>3</v>
      </c>
    </row>
    <row r="1090" spans="1:5" x14ac:dyDescent="0.35">
      <c r="A1090" t="s">
        <v>12</v>
      </c>
    </row>
    <row r="1091" spans="1:5" x14ac:dyDescent="0.35">
      <c r="A1091" t="s">
        <v>50</v>
      </c>
      <c r="B1091" t="s">
        <v>51</v>
      </c>
      <c r="C1091" t="s">
        <v>52</v>
      </c>
    </row>
    <row r="1092" spans="1:5" x14ac:dyDescent="0.35">
      <c r="A1092" t="s">
        <v>121</v>
      </c>
      <c r="B1092" t="s">
        <v>122</v>
      </c>
    </row>
    <row r="1093" spans="1:5" x14ac:dyDescent="0.35">
      <c r="A1093" t="s">
        <v>151</v>
      </c>
      <c r="B1093" t="s">
        <v>152</v>
      </c>
      <c r="C1093" t="s">
        <v>153</v>
      </c>
    </row>
    <row r="1094" spans="1:5" x14ac:dyDescent="0.35">
      <c r="A1094" t="s">
        <v>96</v>
      </c>
      <c r="B1094" t="s">
        <v>18</v>
      </c>
    </row>
    <row r="1095" spans="1:5" x14ac:dyDescent="0.35">
      <c r="A1095" t="s">
        <v>12</v>
      </c>
    </row>
    <row r="1096" spans="1:5" x14ac:dyDescent="0.35">
      <c r="A1096" t="s">
        <v>50</v>
      </c>
      <c r="B1096" t="s">
        <v>51</v>
      </c>
      <c r="C1096" t="s">
        <v>52</v>
      </c>
    </row>
    <row r="1097" spans="1:5" x14ac:dyDescent="0.35">
      <c r="A1097" t="s">
        <v>64</v>
      </c>
      <c r="B1097" t="s">
        <v>66</v>
      </c>
      <c r="C1097" t="s">
        <v>18</v>
      </c>
      <c r="D1097" t="s">
        <v>67</v>
      </c>
      <c r="E1097" t="s">
        <v>68</v>
      </c>
    </row>
    <row r="1098" spans="1:5" x14ac:dyDescent="0.35">
      <c r="A1098" t="s">
        <v>7</v>
      </c>
    </row>
    <row r="1099" spans="1:5" x14ac:dyDescent="0.35">
      <c r="A1099" t="s">
        <v>50</v>
      </c>
      <c r="B1099" t="s">
        <v>51</v>
      </c>
      <c r="C1099" t="s">
        <v>52</v>
      </c>
      <c r="D1099" t="s">
        <v>63</v>
      </c>
    </row>
    <row r="1100" spans="1:5" x14ac:dyDescent="0.35">
      <c r="A1100" t="s">
        <v>1</v>
      </c>
    </row>
    <row r="1101" spans="1:5" x14ac:dyDescent="0.35">
      <c r="A1101" t="s">
        <v>50</v>
      </c>
      <c r="B1101" t="s">
        <v>51</v>
      </c>
      <c r="C1101" t="s">
        <v>52</v>
      </c>
    </row>
    <row r="1102" spans="1:5" x14ac:dyDescent="0.35">
      <c r="A1102" t="s">
        <v>50</v>
      </c>
      <c r="B1102" t="s">
        <v>51</v>
      </c>
      <c r="C1102" t="s">
        <v>52</v>
      </c>
      <c r="D1102" t="s">
        <v>77</v>
      </c>
      <c r="E1102" t="s">
        <v>78</v>
      </c>
    </row>
    <row r="1103" spans="1:5" x14ac:dyDescent="0.35">
      <c r="A1103" t="s">
        <v>50</v>
      </c>
      <c r="B1103" t="s">
        <v>51</v>
      </c>
      <c r="C1103" t="s">
        <v>52</v>
      </c>
      <c r="D1103" t="s">
        <v>63</v>
      </c>
    </row>
    <row r="1104" spans="1:5" x14ac:dyDescent="0.35">
      <c r="A1104" t="s">
        <v>126</v>
      </c>
      <c r="B1104" t="s">
        <v>127</v>
      </c>
    </row>
    <row r="1105" spans="1:7" x14ac:dyDescent="0.35">
      <c r="A1105" t="s">
        <v>50</v>
      </c>
      <c r="B1105" t="s">
        <v>51</v>
      </c>
      <c r="C1105" t="s">
        <v>52</v>
      </c>
      <c r="D1105" t="s">
        <v>80</v>
      </c>
    </row>
    <row r="1106" spans="1:7" x14ac:dyDescent="0.35">
      <c r="A1106" t="s">
        <v>108</v>
      </c>
      <c r="B1106" t="s">
        <v>11</v>
      </c>
    </row>
    <row r="1107" spans="1:7" x14ac:dyDescent="0.35">
      <c r="A1107" t="s">
        <v>3</v>
      </c>
    </row>
    <row r="1108" spans="1:7" x14ac:dyDescent="0.35">
      <c r="A1108" t="s">
        <v>18</v>
      </c>
    </row>
    <row r="1109" spans="1:7" x14ac:dyDescent="0.35">
      <c r="A1109" t="s">
        <v>8</v>
      </c>
    </row>
    <row r="1110" spans="1:7" x14ac:dyDescent="0.35">
      <c r="A1110" t="s">
        <v>93</v>
      </c>
      <c r="B1110" t="s">
        <v>50</v>
      </c>
      <c r="C1110" t="s">
        <v>51</v>
      </c>
      <c r="D1110" t="s">
        <v>52</v>
      </c>
      <c r="E1110" t="s">
        <v>94</v>
      </c>
      <c r="F1110" t="s">
        <v>77</v>
      </c>
      <c r="G1110" t="s">
        <v>95</v>
      </c>
    </row>
    <row r="1111" spans="1:7" x14ac:dyDescent="0.35">
      <c r="A1111" t="s">
        <v>56</v>
      </c>
      <c r="B1111" t="s">
        <v>57</v>
      </c>
    </row>
    <row r="1112" spans="1:7" x14ac:dyDescent="0.35">
      <c r="A1112" t="s">
        <v>64</v>
      </c>
      <c r="B1112" t="s">
        <v>65</v>
      </c>
      <c r="C1112" t="s">
        <v>66</v>
      </c>
      <c r="D1112" t="s">
        <v>18</v>
      </c>
      <c r="E1112" t="s">
        <v>129</v>
      </c>
      <c r="F1112" t="s">
        <v>67</v>
      </c>
      <c r="G1112" t="s">
        <v>68</v>
      </c>
    </row>
    <row r="1113" spans="1:7" x14ac:dyDescent="0.35">
      <c r="A1113" t="s">
        <v>1</v>
      </c>
      <c r="B1113" t="s">
        <v>87</v>
      </c>
    </row>
    <row r="1114" spans="1:7" x14ac:dyDescent="0.35">
      <c r="A1114" t="s">
        <v>50</v>
      </c>
      <c r="B1114" t="s">
        <v>51</v>
      </c>
      <c r="C1114" t="s">
        <v>52</v>
      </c>
      <c r="D1114" t="s">
        <v>74</v>
      </c>
      <c r="E1114" t="s">
        <v>75</v>
      </c>
    </row>
    <row r="1115" spans="1:7" x14ac:dyDescent="0.35">
      <c r="A1115" t="s">
        <v>50</v>
      </c>
      <c r="B1115" t="s">
        <v>51</v>
      </c>
      <c r="C1115" t="s">
        <v>52</v>
      </c>
      <c r="D1115" t="s">
        <v>61</v>
      </c>
    </row>
    <row r="1116" spans="1:7" x14ac:dyDescent="0.35">
      <c r="A1116" t="s">
        <v>96</v>
      </c>
      <c r="B1116" t="s">
        <v>18</v>
      </c>
    </row>
    <row r="1117" spans="1:7" x14ac:dyDescent="0.35">
      <c r="A1117" t="s">
        <v>56</v>
      </c>
      <c r="B1117" t="s">
        <v>57</v>
      </c>
    </row>
    <row r="1118" spans="1:7" x14ac:dyDescent="0.35">
      <c r="A1118" t="s">
        <v>50</v>
      </c>
      <c r="B1118" t="s">
        <v>51</v>
      </c>
      <c r="C1118" t="s">
        <v>52</v>
      </c>
      <c r="D1118" t="s">
        <v>63</v>
      </c>
    </row>
    <row r="1119" spans="1:7" x14ac:dyDescent="0.35">
      <c r="A1119" t="s">
        <v>96</v>
      </c>
      <c r="B1119" t="s">
        <v>18</v>
      </c>
    </row>
    <row r="1120" spans="1:7" x14ac:dyDescent="0.35">
      <c r="A1120" t="s">
        <v>108</v>
      </c>
      <c r="B1120" t="s">
        <v>11</v>
      </c>
    </row>
    <row r="1121" spans="1:5" x14ac:dyDescent="0.35">
      <c r="A1121" t="s">
        <v>17</v>
      </c>
    </row>
    <row r="1122" spans="1:5" x14ac:dyDescent="0.35">
      <c r="A1122" t="s">
        <v>3</v>
      </c>
    </row>
    <row r="1123" spans="1:5" x14ac:dyDescent="0.35">
      <c r="A1123" t="s">
        <v>165</v>
      </c>
      <c r="B1123" t="s">
        <v>1</v>
      </c>
    </row>
    <row r="1124" spans="1:5" x14ac:dyDescent="0.35">
      <c r="A1124" t="s">
        <v>11</v>
      </c>
    </row>
    <row r="1125" spans="1:5" x14ac:dyDescent="0.35">
      <c r="A1125" t="s">
        <v>50</v>
      </c>
      <c r="B1125" t="s">
        <v>51</v>
      </c>
      <c r="C1125" t="s">
        <v>52</v>
      </c>
      <c r="D1125" t="s">
        <v>77</v>
      </c>
      <c r="E1125" t="s">
        <v>116</v>
      </c>
    </row>
    <row r="1126" spans="1:5" x14ac:dyDescent="0.35">
      <c r="A1126" t="s">
        <v>123</v>
      </c>
      <c r="B1126" t="s">
        <v>124</v>
      </c>
      <c r="C1126" t="s">
        <v>125</v>
      </c>
    </row>
    <row r="1127" spans="1:5" x14ac:dyDescent="0.35">
      <c r="A1127" t="s">
        <v>81</v>
      </c>
      <c r="B1127" t="s">
        <v>11</v>
      </c>
    </row>
    <row r="1128" spans="1:5" x14ac:dyDescent="0.35">
      <c r="A1128" t="s">
        <v>81</v>
      </c>
      <c r="B1128" t="s">
        <v>11</v>
      </c>
    </row>
    <row r="1129" spans="1:5" x14ac:dyDescent="0.35">
      <c r="A1129" t="s">
        <v>3</v>
      </c>
    </row>
    <row r="1130" spans="1:5" x14ac:dyDescent="0.35">
      <c r="A1130" t="s">
        <v>123</v>
      </c>
      <c r="B1130" t="s">
        <v>124</v>
      </c>
      <c r="C1130" t="s">
        <v>125</v>
      </c>
    </row>
    <row r="1131" spans="1:5" x14ac:dyDescent="0.35">
      <c r="A1131" t="s">
        <v>50</v>
      </c>
      <c r="B1131" t="s">
        <v>51</v>
      </c>
      <c r="C1131" t="s">
        <v>52</v>
      </c>
    </row>
    <row r="1132" spans="1:5" x14ac:dyDescent="0.35">
      <c r="A1132" t="s">
        <v>50</v>
      </c>
      <c r="B1132" t="s">
        <v>51</v>
      </c>
      <c r="C1132" t="s">
        <v>52</v>
      </c>
      <c r="D1132" t="s">
        <v>60</v>
      </c>
      <c r="E1132" t="s">
        <v>61</v>
      </c>
    </row>
    <row r="1133" spans="1:5" x14ac:dyDescent="0.35">
      <c r="A1133" t="s">
        <v>5</v>
      </c>
    </row>
    <row r="1134" spans="1:5" x14ac:dyDescent="0.35">
      <c r="A1134" t="s">
        <v>6</v>
      </c>
    </row>
    <row r="1135" spans="1:5" x14ac:dyDescent="0.35">
      <c r="A1135" t="s">
        <v>66</v>
      </c>
      <c r="B1135" t="s">
        <v>67</v>
      </c>
      <c r="C1135" t="s">
        <v>68</v>
      </c>
    </row>
    <row r="1136" spans="1:5" x14ac:dyDescent="0.35">
      <c r="A1136" t="s">
        <v>149</v>
      </c>
      <c r="B1136" t="s">
        <v>109</v>
      </c>
      <c r="C1136" t="s">
        <v>110</v>
      </c>
      <c r="D1136" t="s">
        <v>111</v>
      </c>
    </row>
    <row r="1137" spans="1:6" x14ac:dyDescent="0.35">
      <c r="A1137" t="s">
        <v>12</v>
      </c>
    </row>
    <row r="1138" spans="1:6" x14ac:dyDescent="0.35">
      <c r="A1138" t="s">
        <v>56</v>
      </c>
      <c r="B1138" t="s">
        <v>57</v>
      </c>
    </row>
    <row r="1139" spans="1:6" x14ac:dyDescent="0.35">
      <c r="A1139" t="s">
        <v>50</v>
      </c>
      <c r="B1139" t="s">
        <v>51</v>
      </c>
      <c r="C1139" t="s">
        <v>52</v>
      </c>
      <c r="D1139" t="s">
        <v>63</v>
      </c>
    </row>
    <row r="1140" spans="1:6" x14ac:dyDescent="0.35">
      <c r="A1140" t="s">
        <v>96</v>
      </c>
      <c r="B1140" t="s">
        <v>176</v>
      </c>
      <c r="C1140" t="s">
        <v>66</v>
      </c>
      <c r="D1140" t="s">
        <v>18</v>
      </c>
      <c r="E1140" t="s">
        <v>67</v>
      </c>
      <c r="F1140" t="s">
        <v>68</v>
      </c>
    </row>
    <row r="1141" spans="1:6" x14ac:dyDescent="0.35">
      <c r="A1141" t="s">
        <v>1</v>
      </c>
    </row>
    <row r="1142" spans="1:6" x14ac:dyDescent="0.35">
      <c r="A1142" t="s">
        <v>50</v>
      </c>
      <c r="B1142" t="s">
        <v>51</v>
      </c>
      <c r="C1142" t="s">
        <v>52</v>
      </c>
      <c r="D1142" t="s">
        <v>77</v>
      </c>
      <c r="E1142" t="s">
        <v>83</v>
      </c>
      <c r="F1142" t="s">
        <v>84</v>
      </c>
    </row>
    <row r="1143" spans="1:6" x14ac:dyDescent="0.35">
      <c r="A1143" t="s">
        <v>108</v>
      </c>
      <c r="B1143" t="s">
        <v>11</v>
      </c>
    </row>
    <row r="1144" spans="1:6" x14ac:dyDescent="0.35">
      <c r="A1144" t="s">
        <v>3</v>
      </c>
    </row>
    <row r="1145" spans="1:6" x14ac:dyDescent="0.35">
      <c r="A1145" t="s">
        <v>50</v>
      </c>
      <c r="B1145" t="s">
        <v>51</v>
      </c>
      <c r="C1145" t="s">
        <v>52</v>
      </c>
      <c r="D1145" t="s">
        <v>77</v>
      </c>
      <c r="E1145" t="s">
        <v>83</v>
      </c>
      <c r="F1145" t="s">
        <v>84</v>
      </c>
    </row>
    <row r="1146" spans="1:6" x14ac:dyDescent="0.35">
      <c r="A1146" t="s">
        <v>64</v>
      </c>
      <c r="B1146" t="s">
        <v>65</v>
      </c>
      <c r="C1146" t="s">
        <v>18</v>
      </c>
    </row>
    <row r="1147" spans="1:6" x14ac:dyDescent="0.35">
      <c r="A1147" t="s">
        <v>96</v>
      </c>
      <c r="B1147" t="s">
        <v>18</v>
      </c>
    </row>
    <row r="1148" spans="1:6" x14ac:dyDescent="0.35">
      <c r="A1148" t="s">
        <v>12</v>
      </c>
    </row>
    <row r="1149" spans="1:6" x14ac:dyDescent="0.35">
      <c r="A1149" t="s">
        <v>81</v>
      </c>
      <c r="B1149" t="s">
        <v>11</v>
      </c>
    </row>
    <row r="1150" spans="1:6" x14ac:dyDescent="0.35">
      <c r="A1150" t="s">
        <v>100</v>
      </c>
      <c r="B1150" t="s">
        <v>101</v>
      </c>
      <c r="C1150" t="s">
        <v>102</v>
      </c>
    </row>
    <row r="1151" spans="1:6" x14ac:dyDescent="0.35">
      <c r="A1151" t="s">
        <v>96</v>
      </c>
      <c r="B1151" t="s">
        <v>18</v>
      </c>
    </row>
    <row r="1152" spans="1:6" x14ac:dyDescent="0.35">
      <c r="A1152" t="s">
        <v>10</v>
      </c>
    </row>
    <row r="1153" spans="1:6" x14ac:dyDescent="0.35">
      <c r="A1153" t="s">
        <v>56</v>
      </c>
      <c r="B1153" t="s">
        <v>57</v>
      </c>
      <c r="C1153" t="s">
        <v>171</v>
      </c>
      <c r="D1153" t="s">
        <v>172</v>
      </c>
      <c r="E1153" t="s">
        <v>173</v>
      </c>
    </row>
    <row r="1154" spans="1:6" x14ac:dyDescent="0.35">
      <c r="A1154" t="s">
        <v>96</v>
      </c>
      <c r="B1154" t="s">
        <v>18</v>
      </c>
    </row>
    <row r="1155" spans="1:6" x14ac:dyDescent="0.35">
      <c r="A1155" t="s">
        <v>50</v>
      </c>
      <c r="B1155" t="s">
        <v>51</v>
      </c>
      <c r="C1155" t="s">
        <v>52</v>
      </c>
    </row>
    <row r="1156" spans="1:6" x14ac:dyDescent="0.35">
      <c r="A1156" t="s">
        <v>13</v>
      </c>
    </row>
    <row r="1157" spans="1:6" x14ac:dyDescent="0.35">
      <c r="A1157" t="s">
        <v>50</v>
      </c>
      <c r="B1157" t="s">
        <v>51</v>
      </c>
      <c r="C1157" t="s">
        <v>52</v>
      </c>
      <c r="D1157" t="s">
        <v>59</v>
      </c>
    </row>
    <row r="1158" spans="1:6" x14ac:dyDescent="0.35">
      <c r="A1158" t="s">
        <v>50</v>
      </c>
      <c r="B1158" t="s">
        <v>51</v>
      </c>
      <c r="C1158" t="s">
        <v>52</v>
      </c>
      <c r="D1158" t="s">
        <v>63</v>
      </c>
    </row>
    <row r="1159" spans="1:6" x14ac:dyDescent="0.35">
      <c r="A1159" t="s">
        <v>25</v>
      </c>
    </row>
    <row r="1160" spans="1:6" x14ac:dyDescent="0.35">
      <c r="A1160" t="s">
        <v>10</v>
      </c>
    </row>
    <row r="1161" spans="1:6" x14ac:dyDescent="0.35">
      <c r="A1161" t="s">
        <v>17</v>
      </c>
    </row>
    <row r="1162" spans="1:6" x14ac:dyDescent="0.35">
      <c r="A1162" t="s">
        <v>50</v>
      </c>
      <c r="B1162" t="s">
        <v>51</v>
      </c>
      <c r="C1162" t="s">
        <v>52</v>
      </c>
      <c r="D1162" t="s">
        <v>77</v>
      </c>
      <c r="E1162" t="s">
        <v>83</v>
      </c>
      <c r="F1162" t="s">
        <v>84</v>
      </c>
    </row>
    <row r="1163" spans="1:6" x14ac:dyDescent="0.35">
      <c r="A1163" t="s">
        <v>1</v>
      </c>
    </row>
    <row r="1164" spans="1:6" x14ac:dyDescent="0.35">
      <c r="A1164" t="s">
        <v>81</v>
      </c>
      <c r="B1164" t="s">
        <v>11</v>
      </c>
    </row>
    <row r="1165" spans="1:6" x14ac:dyDescent="0.35">
      <c r="A1165" t="s">
        <v>17</v>
      </c>
    </row>
    <row r="1166" spans="1:6" x14ac:dyDescent="0.35">
      <c r="A1166" t="s">
        <v>159</v>
      </c>
      <c r="B1166" t="s">
        <v>11</v>
      </c>
    </row>
    <row r="1167" spans="1:6" x14ac:dyDescent="0.35">
      <c r="A1167" t="s">
        <v>8</v>
      </c>
    </row>
    <row r="1168" spans="1:6" x14ac:dyDescent="0.35">
      <c r="A1168" t="s">
        <v>12</v>
      </c>
    </row>
    <row r="1169" spans="1:7" x14ac:dyDescent="0.35">
      <c r="A1169" t="s">
        <v>100</v>
      </c>
      <c r="B1169" t="s">
        <v>101</v>
      </c>
      <c r="C1169" t="s">
        <v>102</v>
      </c>
    </row>
    <row r="1170" spans="1:7" x14ac:dyDescent="0.35">
      <c r="A1170" t="s">
        <v>12</v>
      </c>
    </row>
    <row r="1171" spans="1:7" x14ac:dyDescent="0.35">
      <c r="A1171" t="s">
        <v>50</v>
      </c>
      <c r="B1171" t="s">
        <v>51</v>
      </c>
      <c r="C1171" t="s">
        <v>52</v>
      </c>
      <c r="D1171" t="s">
        <v>63</v>
      </c>
    </row>
    <row r="1172" spans="1:7" x14ac:dyDescent="0.35">
      <c r="A1172" t="s">
        <v>50</v>
      </c>
      <c r="B1172" t="s">
        <v>51</v>
      </c>
      <c r="C1172" t="s">
        <v>52</v>
      </c>
      <c r="D1172" t="s">
        <v>63</v>
      </c>
    </row>
    <row r="1173" spans="1:7" x14ac:dyDescent="0.35">
      <c r="A1173" t="s">
        <v>64</v>
      </c>
      <c r="B1173" t="s">
        <v>65</v>
      </c>
      <c r="C1173" t="s">
        <v>66</v>
      </c>
      <c r="D1173" t="s">
        <v>18</v>
      </c>
      <c r="E1173" t="s">
        <v>67</v>
      </c>
      <c r="F1173" t="s">
        <v>68</v>
      </c>
    </row>
    <row r="1174" spans="1:7" x14ac:dyDescent="0.35">
      <c r="A1174" t="s">
        <v>8</v>
      </c>
    </row>
    <row r="1175" spans="1:7" x14ac:dyDescent="0.35">
      <c r="A1175" t="s">
        <v>17</v>
      </c>
    </row>
    <row r="1176" spans="1:7" x14ac:dyDescent="0.35">
      <c r="A1176" t="s">
        <v>3</v>
      </c>
    </row>
    <row r="1177" spans="1:7" x14ac:dyDescent="0.35">
      <c r="A1177" t="s">
        <v>9</v>
      </c>
    </row>
    <row r="1178" spans="1:7" x14ac:dyDescent="0.35">
      <c r="A1178" t="s">
        <v>8</v>
      </c>
    </row>
    <row r="1179" spans="1:7" x14ac:dyDescent="0.35">
      <c r="A1179" t="s">
        <v>64</v>
      </c>
      <c r="B1179" t="s">
        <v>65</v>
      </c>
      <c r="C1179" t="s">
        <v>66</v>
      </c>
      <c r="D1179" t="s">
        <v>18</v>
      </c>
      <c r="E1179" t="s">
        <v>67</v>
      </c>
      <c r="F1179" t="s">
        <v>68</v>
      </c>
    </row>
    <row r="1180" spans="1:7" x14ac:dyDescent="0.35">
      <c r="A1180" t="s">
        <v>2</v>
      </c>
    </row>
    <row r="1181" spans="1:7" x14ac:dyDescent="0.35">
      <c r="A1181" t="s">
        <v>1</v>
      </c>
    </row>
    <row r="1182" spans="1:7" x14ac:dyDescent="0.35">
      <c r="A1182" t="s">
        <v>1</v>
      </c>
    </row>
    <row r="1183" spans="1:7" x14ac:dyDescent="0.35">
      <c r="A1183" t="s">
        <v>26</v>
      </c>
    </row>
    <row r="1184" spans="1:7" x14ac:dyDescent="0.35">
      <c r="A1184" t="s">
        <v>64</v>
      </c>
      <c r="B1184" t="s">
        <v>65</v>
      </c>
      <c r="C1184" t="s">
        <v>66</v>
      </c>
      <c r="D1184" t="s">
        <v>18</v>
      </c>
      <c r="E1184" t="s">
        <v>129</v>
      </c>
      <c r="F1184" t="s">
        <v>67</v>
      </c>
      <c r="G1184" t="s">
        <v>68</v>
      </c>
    </row>
    <row r="1185" spans="1:4" x14ac:dyDescent="0.35">
      <c r="A1185" t="s">
        <v>8</v>
      </c>
    </row>
    <row r="1186" spans="1:4" x14ac:dyDescent="0.35">
      <c r="A1186" t="s">
        <v>18</v>
      </c>
      <c r="B1186" t="s">
        <v>130</v>
      </c>
    </row>
    <row r="1187" spans="1:4" x14ac:dyDescent="0.35">
      <c r="A1187" t="s">
        <v>3</v>
      </c>
    </row>
    <row r="1188" spans="1:4" x14ac:dyDescent="0.35">
      <c r="A1188" t="s">
        <v>50</v>
      </c>
      <c r="B1188" t="s">
        <v>51</v>
      </c>
      <c r="C1188" t="s">
        <v>52</v>
      </c>
      <c r="D1188" t="s">
        <v>63</v>
      </c>
    </row>
    <row r="1189" spans="1:4" x14ac:dyDescent="0.35">
      <c r="A1189" t="s">
        <v>12</v>
      </c>
      <c r="B1189" t="s">
        <v>177</v>
      </c>
    </row>
    <row r="1190" spans="1:4" x14ac:dyDescent="0.35">
      <c r="A1190" t="s">
        <v>50</v>
      </c>
      <c r="B1190" t="s">
        <v>51</v>
      </c>
      <c r="C1190" t="s">
        <v>52</v>
      </c>
      <c r="D1190" t="s">
        <v>63</v>
      </c>
    </row>
    <row r="1191" spans="1:4" x14ac:dyDescent="0.35">
      <c r="A1191" t="s">
        <v>50</v>
      </c>
      <c r="B1191" t="s">
        <v>51</v>
      </c>
      <c r="C1191" t="s">
        <v>52</v>
      </c>
    </row>
    <row r="1192" spans="1:4" x14ac:dyDescent="0.35">
      <c r="A1192" t="s">
        <v>50</v>
      </c>
      <c r="B1192" t="s">
        <v>51</v>
      </c>
      <c r="C1192" t="s">
        <v>52</v>
      </c>
    </row>
    <row r="1193" spans="1:4" x14ac:dyDescent="0.35">
      <c r="A1193" t="s">
        <v>2</v>
      </c>
    </row>
    <row r="1194" spans="1:4" x14ac:dyDescent="0.35">
      <c r="A1194" t="s">
        <v>108</v>
      </c>
      <c r="B1194" t="s">
        <v>11</v>
      </c>
    </row>
    <row r="1195" spans="1:4" x14ac:dyDescent="0.35">
      <c r="A1195" t="s">
        <v>50</v>
      </c>
      <c r="B1195" t="s">
        <v>51</v>
      </c>
      <c r="C1195" t="s">
        <v>52</v>
      </c>
    </row>
    <row r="1196" spans="1:4" x14ac:dyDescent="0.35">
      <c r="A1196" t="s">
        <v>8</v>
      </c>
    </row>
    <row r="1197" spans="1:4" x14ac:dyDescent="0.35">
      <c r="A1197" t="s">
        <v>50</v>
      </c>
      <c r="B1197" t="s">
        <v>51</v>
      </c>
      <c r="C1197" t="s">
        <v>52</v>
      </c>
      <c r="D1197" t="s">
        <v>98</v>
      </c>
    </row>
    <row r="1198" spans="1:4" x14ac:dyDescent="0.35">
      <c r="A1198" t="s">
        <v>81</v>
      </c>
      <c r="B1198" t="s">
        <v>11</v>
      </c>
    </row>
    <row r="1199" spans="1:4" x14ac:dyDescent="0.35">
      <c r="A1199" t="s">
        <v>1</v>
      </c>
    </row>
    <row r="1200" spans="1:4" x14ac:dyDescent="0.35">
      <c r="A1200" t="s">
        <v>81</v>
      </c>
      <c r="B1200" t="s">
        <v>11</v>
      </c>
    </row>
    <row r="1201" spans="1:7" x14ac:dyDescent="0.35">
      <c r="A1201" t="s">
        <v>50</v>
      </c>
      <c r="B1201" t="s">
        <v>51</v>
      </c>
      <c r="C1201" t="s">
        <v>52</v>
      </c>
      <c r="D1201" t="s">
        <v>60</v>
      </c>
      <c r="E1201" t="s">
        <v>118</v>
      </c>
      <c r="F1201" t="s">
        <v>61</v>
      </c>
    </row>
    <row r="1202" spans="1:7" x14ac:dyDescent="0.35">
      <c r="A1202" t="s">
        <v>7</v>
      </c>
    </row>
    <row r="1203" spans="1:7" x14ac:dyDescent="0.35">
      <c r="A1203" t="s">
        <v>27</v>
      </c>
    </row>
    <row r="1204" spans="1:7" x14ac:dyDescent="0.35">
      <c r="A1204" t="s">
        <v>1</v>
      </c>
    </row>
    <row r="1205" spans="1:7" x14ac:dyDescent="0.35">
      <c r="A1205" t="s">
        <v>12</v>
      </c>
    </row>
    <row r="1206" spans="1:7" x14ac:dyDescent="0.35">
      <c r="A1206" t="s">
        <v>7</v>
      </c>
    </row>
    <row r="1207" spans="1:7" x14ac:dyDescent="0.35">
      <c r="A1207" t="s">
        <v>50</v>
      </c>
      <c r="B1207" t="s">
        <v>51</v>
      </c>
      <c r="C1207" t="s">
        <v>52</v>
      </c>
      <c r="D1207" t="s">
        <v>72</v>
      </c>
      <c r="E1207" t="s">
        <v>73</v>
      </c>
    </row>
    <row r="1208" spans="1:7" x14ac:dyDescent="0.35">
      <c r="A1208" t="s">
        <v>3</v>
      </c>
    </row>
    <row r="1209" spans="1:7" x14ac:dyDescent="0.35">
      <c r="A1209" t="s">
        <v>93</v>
      </c>
      <c r="B1209" t="s">
        <v>50</v>
      </c>
      <c r="C1209" t="s">
        <v>51</v>
      </c>
      <c r="D1209" t="s">
        <v>52</v>
      </c>
      <c r="E1209" t="s">
        <v>94</v>
      </c>
      <c r="F1209" t="s">
        <v>77</v>
      </c>
      <c r="G1209" t="s">
        <v>95</v>
      </c>
    </row>
    <row r="1210" spans="1:7" x14ac:dyDescent="0.35">
      <c r="A1210" t="s">
        <v>12</v>
      </c>
    </row>
    <row r="1211" spans="1:7" x14ac:dyDescent="0.35">
      <c r="A1211" t="s">
        <v>50</v>
      </c>
      <c r="B1211" t="s">
        <v>51</v>
      </c>
      <c r="C1211" t="s">
        <v>52</v>
      </c>
    </row>
    <row r="1212" spans="1:7" x14ac:dyDescent="0.35">
      <c r="A1212" t="s">
        <v>50</v>
      </c>
      <c r="B1212" t="s">
        <v>51</v>
      </c>
      <c r="C1212" t="s">
        <v>52</v>
      </c>
      <c r="D1212" t="s">
        <v>92</v>
      </c>
    </row>
    <row r="1213" spans="1:7" x14ac:dyDescent="0.35">
      <c r="A1213" t="s">
        <v>50</v>
      </c>
      <c r="B1213" t="s">
        <v>51</v>
      </c>
      <c r="C1213" t="s">
        <v>52</v>
      </c>
      <c r="D1213" t="s">
        <v>63</v>
      </c>
    </row>
    <row r="1214" spans="1:7" x14ac:dyDescent="0.35">
      <c r="A1214" t="s">
        <v>50</v>
      </c>
      <c r="B1214" t="s">
        <v>51</v>
      </c>
      <c r="C1214" t="s">
        <v>52</v>
      </c>
      <c r="D1214" t="s">
        <v>112</v>
      </c>
    </row>
    <row r="1215" spans="1:7" x14ac:dyDescent="0.35">
      <c r="A1215" t="s">
        <v>50</v>
      </c>
      <c r="B1215" t="s">
        <v>51</v>
      </c>
      <c r="C1215" t="s">
        <v>52</v>
      </c>
    </row>
    <row r="1216" spans="1:7" x14ac:dyDescent="0.35">
      <c r="A1216" t="s">
        <v>5</v>
      </c>
    </row>
    <row r="1217" spans="1:6" x14ac:dyDescent="0.35">
      <c r="A1217" t="s">
        <v>50</v>
      </c>
      <c r="B1217" t="s">
        <v>51</v>
      </c>
      <c r="C1217" t="s">
        <v>52</v>
      </c>
    </row>
    <row r="1218" spans="1:6" x14ac:dyDescent="0.35">
      <c r="A1218" t="s">
        <v>18</v>
      </c>
      <c r="B1218" t="s">
        <v>178</v>
      </c>
    </row>
    <row r="1219" spans="1:6" x14ac:dyDescent="0.35">
      <c r="A1219" t="s">
        <v>18</v>
      </c>
    </row>
    <row r="1220" spans="1:6" x14ac:dyDescent="0.35">
      <c r="A1220" t="s">
        <v>123</v>
      </c>
      <c r="B1220" t="s">
        <v>124</v>
      </c>
      <c r="C1220" t="s">
        <v>125</v>
      </c>
    </row>
    <row r="1221" spans="1:6" x14ac:dyDescent="0.35">
      <c r="A1221" t="s">
        <v>81</v>
      </c>
      <c r="B1221" t="s">
        <v>11</v>
      </c>
    </row>
    <row r="1222" spans="1:6" x14ac:dyDescent="0.35">
      <c r="A1222" t="s">
        <v>4</v>
      </c>
    </row>
    <row r="1223" spans="1:6" x14ac:dyDescent="0.35">
      <c r="A1223" t="s">
        <v>7</v>
      </c>
    </row>
    <row r="1224" spans="1:6" x14ac:dyDescent="0.35">
      <c r="A1224" t="s">
        <v>162</v>
      </c>
      <c r="B1224" t="s">
        <v>124</v>
      </c>
    </row>
    <row r="1225" spans="1:6" x14ac:dyDescent="0.35">
      <c r="A1225" t="s">
        <v>10</v>
      </c>
    </row>
    <row r="1226" spans="1:6" x14ac:dyDescent="0.35">
      <c r="A1226" t="s">
        <v>11</v>
      </c>
    </row>
    <row r="1227" spans="1:6" x14ac:dyDescent="0.35">
      <c r="A1227" t="s">
        <v>50</v>
      </c>
      <c r="B1227" t="s">
        <v>51</v>
      </c>
      <c r="C1227" t="s">
        <v>52</v>
      </c>
      <c r="D1227" t="s">
        <v>72</v>
      </c>
      <c r="E1227" t="s">
        <v>73</v>
      </c>
    </row>
    <row r="1228" spans="1:6" x14ac:dyDescent="0.35">
      <c r="A1228" t="s">
        <v>3</v>
      </c>
      <c r="B1228" t="s">
        <v>117</v>
      </c>
    </row>
    <row r="1229" spans="1:6" x14ac:dyDescent="0.35">
      <c r="A1229" t="s">
        <v>7</v>
      </c>
    </row>
    <row r="1230" spans="1:6" x14ac:dyDescent="0.35">
      <c r="A1230" t="s">
        <v>64</v>
      </c>
      <c r="B1230" t="s">
        <v>65</v>
      </c>
      <c r="C1230" t="s">
        <v>66</v>
      </c>
      <c r="D1230" t="s">
        <v>18</v>
      </c>
      <c r="E1230" t="s">
        <v>67</v>
      </c>
      <c r="F1230" t="s">
        <v>68</v>
      </c>
    </row>
    <row r="1231" spans="1:6" x14ac:dyDescent="0.35">
      <c r="A1231" t="s">
        <v>96</v>
      </c>
      <c r="B1231" t="s">
        <v>18</v>
      </c>
    </row>
    <row r="1232" spans="1:6" x14ac:dyDescent="0.35">
      <c r="A1232" t="s">
        <v>50</v>
      </c>
      <c r="B1232" t="s">
        <v>51</v>
      </c>
      <c r="C1232" t="s">
        <v>52</v>
      </c>
    </row>
    <row r="1233" spans="1:7" x14ac:dyDescent="0.35">
      <c r="A1233" t="s">
        <v>50</v>
      </c>
      <c r="B1233" t="s">
        <v>51</v>
      </c>
      <c r="C1233" t="s">
        <v>52</v>
      </c>
      <c r="D1233" t="s">
        <v>63</v>
      </c>
    </row>
    <row r="1234" spans="1:7" x14ac:dyDescent="0.35">
      <c r="A1234" t="s">
        <v>15</v>
      </c>
    </row>
    <row r="1235" spans="1:7" x14ac:dyDescent="0.35">
      <c r="A1235" t="s">
        <v>50</v>
      </c>
      <c r="B1235" t="s">
        <v>51</v>
      </c>
      <c r="C1235" t="s">
        <v>52</v>
      </c>
    </row>
    <row r="1236" spans="1:7" x14ac:dyDescent="0.35">
      <c r="A1236" t="s">
        <v>96</v>
      </c>
      <c r="B1236" t="s">
        <v>18</v>
      </c>
    </row>
    <row r="1237" spans="1:7" x14ac:dyDescent="0.35">
      <c r="A1237" t="s">
        <v>50</v>
      </c>
      <c r="B1237" t="s">
        <v>51</v>
      </c>
      <c r="C1237" t="s">
        <v>52</v>
      </c>
    </row>
    <row r="1238" spans="1:7" x14ac:dyDescent="0.35">
      <c r="A1238" t="s">
        <v>96</v>
      </c>
      <c r="B1238" t="s">
        <v>18</v>
      </c>
    </row>
    <row r="1239" spans="1:7" x14ac:dyDescent="0.35">
      <c r="A1239" t="s">
        <v>96</v>
      </c>
      <c r="B1239" t="s">
        <v>18</v>
      </c>
    </row>
    <row r="1240" spans="1:7" x14ac:dyDescent="0.35">
      <c r="A1240" t="s">
        <v>64</v>
      </c>
      <c r="B1240" t="s">
        <v>65</v>
      </c>
      <c r="C1240" t="s">
        <v>66</v>
      </c>
      <c r="D1240" t="s">
        <v>18</v>
      </c>
      <c r="E1240" t="s">
        <v>67</v>
      </c>
      <c r="F1240" t="s">
        <v>68</v>
      </c>
    </row>
    <row r="1241" spans="1:7" x14ac:dyDescent="0.35">
      <c r="A1241" t="s">
        <v>162</v>
      </c>
      <c r="B1241" t="s">
        <v>179</v>
      </c>
      <c r="C1241" t="s">
        <v>164</v>
      </c>
      <c r="D1241" t="s">
        <v>180</v>
      </c>
      <c r="E1241" t="s">
        <v>124</v>
      </c>
    </row>
    <row r="1242" spans="1:7" x14ac:dyDescent="0.35">
      <c r="A1242" t="s">
        <v>50</v>
      </c>
      <c r="B1242" t="s">
        <v>51</v>
      </c>
      <c r="C1242" t="s">
        <v>52</v>
      </c>
      <c r="D1242" t="s">
        <v>63</v>
      </c>
    </row>
    <row r="1243" spans="1:7" x14ac:dyDescent="0.35">
      <c r="A1243" t="s">
        <v>1</v>
      </c>
      <c r="B1243" t="s">
        <v>87</v>
      </c>
      <c r="C1243" t="s">
        <v>181</v>
      </c>
    </row>
    <row r="1244" spans="1:7" x14ac:dyDescent="0.35">
      <c r="A1244" t="s">
        <v>96</v>
      </c>
      <c r="B1244" t="s">
        <v>18</v>
      </c>
    </row>
    <row r="1245" spans="1:7" x14ac:dyDescent="0.35">
      <c r="A1245" t="s">
        <v>64</v>
      </c>
      <c r="B1245" t="s">
        <v>18</v>
      </c>
    </row>
    <row r="1246" spans="1:7" x14ac:dyDescent="0.35">
      <c r="A1246" t="s">
        <v>93</v>
      </c>
      <c r="B1246" t="s">
        <v>50</v>
      </c>
      <c r="C1246" t="s">
        <v>51</v>
      </c>
      <c r="D1246" t="s">
        <v>52</v>
      </c>
      <c r="E1246" t="s">
        <v>94</v>
      </c>
      <c r="F1246" t="s">
        <v>77</v>
      </c>
      <c r="G1246" t="s">
        <v>95</v>
      </c>
    </row>
    <row r="1247" spans="1:7" x14ac:dyDescent="0.35">
      <c r="A1247" t="s">
        <v>151</v>
      </c>
      <c r="B1247" t="s">
        <v>152</v>
      </c>
      <c r="C1247" t="s">
        <v>153</v>
      </c>
    </row>
    <row r="1248" spans="1:7" x14ac:dyDescent="0.35">
      <c r="A1248" t="s">
        <v>50</v>
      </c>
      <c r="B1248" t="s">
        <v>51</v>
      </c>
      <c r="C1248" t="s">
        <v>52</v>
      </c>
      <c r="D1248" t="s">
        <v>63</v>
      </c>
    </row>
    <row r="1249" spans="1:7" x14ac:dyDescent="0.35">
      <c r="A1249" t="s">
        <v>56</v>
      </c>
      <c r="B1249" t="s">
        <v>57</v>
      </c>
    </row>
    <row r="1250" spans="1:7" x14ac:dyDescent="0.35">
      <c r="A1250" t="s">
        <v>50</v>
      </c>
      <c r="B1250" t="s">
        <v>51</v>
      </c>
      <c r="C1250" t="s">
        <v>52</v>
      </c>
      <c r="D1250" t="s">
        <v>63</v>
      </c>
    </row>
    <row r="1251" spans="1:7" x14ac:dyDescent="0.35">
      <c r="A1251" t="s">
        <v>93</v>
      </c>
      <c r="B1251" t="s">
        <v>50</v>
      </c>
      <c r="C1251" t="s">
        <v>51</v>
      </c>
      <c r="D1251" t="s">
        <v>52</v>
      </c>
      <c r="E1251" t="s">
        <v>94</v>
      </c>
      <c r="F1251" t="s">
        <v>77</v>
      </c>
      <c r="G1251" t="s">
        <v>95</v>
      </c>
    </row>
    <row r="1252" spans="1:7" x14ac:dyDescent="0.35">
      <c r="A1252" t="s">
        <v>12</v>
      </c>
    </row>
    <row r="1253" spans="1:7" x14ac:dyDescent="0.35">
      <c r="A1253" t="s">
        <v>11</v>
      </c>
    </row>
    <row r="1254" spans="1:7" x14ac:dyDescent="0.35">
      <c r="A1254" t="s">
        <v>11</v>
      </c>
    </row>
    <row r="1255" spans="1:7" x14ac:dyDescent="0.35">
      <c r="A1255" t="s">
        <v>1</v>
      </c>
    </row>
    <row r="1256" spans="1:7" x14ac:dyDescent="0.35">
      <c r="A1256" t="s">
        <v>8</v>
      </c>
    </row>
    <row r="1257" spans="1:7" x14ac:dyDescent="0.35">
      <c r="A1257" t="s">
        <v>10</v>
      </c>
    </row>
    <row r="1258" spans="1:7" x14ac:dyDescent="0.35">
      <c r="A1258" t="s">
        <v>12</v>
      </c>
    </row>
    <row r="1259" spans="1:7" x14ac:dyDescent="0.35">
      <c r="A1259" t="s">
        <v>2</v>
      </c>
    </row>
    <row r="1260" spans="1:7" x14ac:dyDescent="0.35">
      <c r="A1260" t="s">
        <v>50</v>
      </c>
      <c r="B1260" t="s">
        <v>51</v>
      </c>
      <c r="C1260" t="s">
        <v>52</v>
      </c>
      <c r="D1260" t="s">
        <v>60</v>
      </c>
      <c r="E1260" t="s">
        <v>118</v>
      </c>
      <c r="F1260" t="s">
        <v>61</v>
      </c>
    </row>
    <row r="1261" spans="1:7" x14ac:dyDescent="0.35">
      <c r="A1261" t="s">
        <v>56</v>
      </c>
      <c r="B1261" t="s">
        <v>57</v>
      </c>
      <c r="C1261" t="s">
        <v>171</v>
      </c>
      <c r="D1261" t="s">
        <v>172</v>
      </c>
      <c r="E1261" t="s">
        <v>173</v>
      </c>
    </row>
    <row r="1262" spans="1:7" x14ac:dyDescent="0.35">
      <c r="A1262" t="s">
        <v>50</v>
      </c>
      <c r="B1262" t="s">
        <v>51</v>
      </c>
      <c r="C1262" t="s">
        <v>52</v>
      </c>
      <c r="D1262" t="s">
        <v>72</v>
      </c>
      <c r="E1262" t="s">
        <v>73</v>
      </c>
      <c r="F1262" t="s">
        <v>113</v>
      </c>
    </row>
    <row r="1263" spans="1:7" x14ac:dyDescent="0.35">
      <c r="A1263" t="s">
        <v>17</v>
      </c>
    </row>
    <row r="1264" spans="1:7" x14ac:dyDescent="0.35">
      <c r="A1264" t="s">
        <v>7</v>
      </c>
    </row>
    <row r="1265" spans="1:6" x14ac:dyDescent="0.35">
      <c r="A1265" t="s">
        <v>50</v>
      </c>
      <c r="B1265" t="s">
        <v>51</v>
      </c>
      <c r="C1265" t="s">
        <v>52</v>
      </c>
      <c r="D1265" t="s">
        <v>77</v>
      </c>
      <c r="E1265" t="s">
        <v>116</v>
      </c>
    </row>
    <row r="1266" spans="1:6" x14ac:dyDescent="0.35">
      <c r="A1266" t="s">
        <v>50</v>
      </c>
      <c r="B1266" t="s">
        <v>51</v>
      </c>
      <c r="C1266" t="s">
        <v>52</v>
      </c>
      <c r="D1266" t="s">
        <v>77</v>
      </c>
      <c r="E1266" t="s">
        <v>83</v>
      </c>
      <c r="F1266" t="s">
        <v>84</v>
      </c>
    </row>
    <row r="1267" spans="1:6" x14ac:dyDescent="0.35">
      <c r="A1267" t="s">
        <v>15</v>
      </c>
    </row>
    <row r="1268" spans="1:6" x14ac:dyDescent="0.35">
      <c r="A1268" t="s">
        <v>50</v>
      </c>
      <c r="B1268" t="s">
        <v>51</v>
      </c>
      <c r="C1268" t="s">
        <v>52</v>
      </c>
      <c r="D1268" t="s">
        <v>63</v>
      </c>
    </row>
    <row r="1269" spans="1:6" x14ac:dyDescent="0.35">
      <c r="A1269" t="s">
        <v>7</v>
      </c>
    </row>
    <row r="1270" spans="1:6" x14ac:dyDescent="0.35">
      <c r="A1270" t="s">
        <v>18</v>
      </c>
      <c r="B1270" t="s">
        <v>160</v>
      </c>
    </row>
    <row r="1271" spans="1:6" x14ac:dyDescent="0.35">
      <c r="A1271" t="s">
        <v>10</v>
      </c>
    </row>
    <row r="1272" spans="1:6" x14ac:dyDescent="0.35">
      <c r="A1272" t="s">
        <v>12</v>
      </c>
    </row>
    <row r="1273" spans="1:6" x14ac:dyDescent="0.35">
      <c r="A1273" t="s">
        <v>3</v>
      </c>
    </row>
    <row r="1274" spans="1:6" x14ac:dyDescent="0.35">
      <c r="A1274" t="s">
        <v>1</v>
      </c>
      <c r="B1274" t="s">
        <v>87</v>
      </c>
      <c r="C1274" t="s">
        <v>182</v>
      </c>
    </row>
    <row r="1275" spans="1:6" x14ac:dyDescent="0.35">
      <c r="A1275" t="s">
        <v>64</v>
      </c>
      <c r="B1275" t="s">
        <v>65</v>
      </c>
      <c r="C1275" t="s">
        <v>66</v>
      </c>
      <c r="D1275" t="s">
        <v>18</v>
      </c>
      <c r="E1275" t="s">
        <v>67</v>
      </c>
      <c r="F1275" t="s">
        <v>68</v>
      </c>
    </row>
    <row r="1276" spans="1:6" x14ac:dyDescent="0.35">
      <c r="A1276" t="s">
        <v>50</v>
      </c>
      <c r="B1276" t="s">
        <v>51</v>
      </c>
      <c r="C1276" t="s">
        <v>52</v>
      </c>
    </row>
    <row r="1277" spans="1:6" x14ac:dyDescent="0.35">
      <c r="A1277" t="s">
        <v>183</v>
      </c>
      <c r="B1277" t="s">
        <v>184</v>
      </c>
      <c r="C1277" t="s">
        <v>185</v>
      </c>
      <c r="D1277" t="s">
        <v>66</v>
      </c>
      <c r="E1277" t="s">
        <v>18</v>
      </c>
      <c r="F1277" t="s">
        <v>67</v>
      </c>
    </row>
    <row r="1278" spans="1:6" x14ac:dyDescent="0.35">
      <c r="A1278" t="s">
        <v>1</v>
      </c>
    </row>
    <row r="1279" spans="1:6" x14ac:dyDescent="0.35">
      <c r="A1279" t="s">
        <v>64</v>
      </c>
      <c r="B1279" t="s">
        <v>65</v>
      </c>
      <c r="C1279" t="s">
        <v>66</v>
      </c>
      <c r="D1279" t="s">
        <v>18</v>
      </c>
      <c r="E1279" t="s">
        <v>67</v>
      </c>
      <c r="F1279" t="s">
        <v>68</v>
      </c>
    </row>
    <row r="1280" spans="1:6" x14ac:dyDescent="0.35">
      <c r="A1280" t="s">
        <v>17</v>
      </c>
    </row>
    <row r="1281" spans="1:5" x14ac:dyDescent="0.35">
      <c r="A1281" t="s">
        <v>64</v>
      </c>
      <c r="B1281" t="s">
        <v>66</v>
      </c>
      <c r="C1281" t="s">
        <v>18</v>
      </c>
      <c r="D1281" t="s">
        <v>67</v>
      </c>
      <c r="E1281" t="s">
        <v>68</v>
      </c>
    </row>
    <row r="1282" spans="1:5" x14ac:dyDescent="0.35">
      <c r="A1282" t="s">
        <v>10</v>
      </c>
    </row>
    <row r="1283" spans="1:5" x14ac:dyDescent="0.35">
      <c r="A1283" t="s">
        <v>3</v>
      </c>
    </row>
    <row r="1284" spans="1:5" x14ac:dyDescent="0.35">
      <c r="A1284" t="s">
        <v>9</v>
      </c>
    </row>
    <row r="1285" spans="1:5" x14ac:dyDescent="0.35">
      <c r="A1285" t="s">
        <v>2</v>
      </c>
    </row>
    <row r="1286" spans="1:5" x14ac:dyDescent="0.35">
      <c r="A1286" t="s">
        <v>3</v>
      </c>
    </row>
    <row r="1287" spans="1:5" x14ac:dyDescent="0.35">
      <c r="A1287" t="s">
        <v>148</v>
      </c>
      <c r="B1287" t="s">
        <v>18</v>
      </c>
    </row>
    <row r="1288" spans="1:5" x14ac:dyDescent="0.35">
      <c r="A1288" t="s">
        <v>64</v>
      </c>
      <c r="B1288" t="s">
        <v>65</v>
      </c>
      <c r="C1288" t="s">
        <v>18</v>
      </c>
    </row>
    <row r="1289" spans="1:5" x14ac:dyDescent="0.35">
      <c r="A1289" t="s">
        <v>17</v>
      </c>
    </row>
    <row r="1290" spans="1:5" x14ac:dyDescent="0.35">
      <c r="A1290" t="s">
        <v>7</v>
      </c>
    </row>
    <row r="1291" spans="1:5" x14ac:dyDescent="0.35">
      <c r="A1291" t="s">
        <v>12</v>
      </c>
      <c r="B1291" t="s">
        <v>177</v>
      </c>
    </row>
    <row r="1292" spans="1:5" x14ac:dyDescent="0.35">
      <c r="A1292" t="s">
        <v>17</v>
      </c>
    </row>
    <row r="1293" spans="1:5" x14ac:dyDescent="0.35">
      <c r="A1293" t="s">
        <v>11</v>
      </c>
    </row>
    <row r="1294" spans="1:5" x14ac:dyDescent="0.35">
      <c r="A1294" t="s">
        <v>17</v>
      </c>
    </row>
    <row r="1295" spans="1:5" x14ac:dyDescent="0.35">
      <c r="A1295" t="s">
        <v>121</v>
      </c>
      <c r="B1295" t="s">
        <v>122</v>
      </c>
    </row>
    <row r="1296" spans="1:5" x14ac:dyDescent="0.35">
      <c r="A1296" t="s">
        <v>50</v>
      </c>
      <c r="B1296" t="s">
        <v>51</v>
      </c>
      <c r="C1296" t="s">
        <v>52</v>
      </c>
      <c r="D1296" t="s">
        <v>63</v>
      </c>
    </row>
    <row r="1297" spans="1:5" x14ac:dyDescent="0.35">
      <c r="A1297" t="s">
        <v>17</v>
      </c>
    </row>
    <row r="1298" spans="1:5" x14ac:dyDescent="0.35">
      <c r="A1298" t="s">
        <v>50</v>
      </c>
      <c r="B1298" t="s">
        <v>51</v>
      </c>
      <c r="C1298" t="s">
        <v>52</v>
      </c>
      <c r="D1298" t="s">
        <v>63</v>
      </c>
    </row>
    <row r="1299" spans="1:5" x14ac:dyDescent="0.35">
      <c r="A1299" t="s">
        <v>17</v>
      </c>
    </row>
    <row r="1300" spans="1:5" x14ac:dyDescent="0.35">
      <c r="A1300" t="s">
        <v>50</v>
      </c>
      <c r="B1300" t="s">
        <v>51</v>
      </c>
      <c r="C1300" t="s">
        <v>52</v>
      </c>
      <c r="D1300" t="s">
        <v>60</v>
      </c>
      <c r="E1300" t="s">
        <v>61</v>
      </c>
    </row>
    <row r="1301" spans="1:5" x14ac:dyDescent="0.35">
      <c r="A1301" t="s">
        <v>7</v>
      </c>
    </row>
    <row r="1302" spans="1:5" x14ac:dyDescent="0.35">
      <c r="A1302" t="s">
        <v>7</v>
      </c>
    </row>
    <row r="1303" spans="1:5" x14ac:dyDescent="0.35">
      <c r="A1303" t="s">
        <v>108</v>
      </c>
      <c r="B1303" t="s">
        <v>11</v>
      </c>
    </row>
    <row r="1304" spans="1:5" x14ac:dyDescent="0.35">
      <c r="A1304" t="s">
        <v>100</v>
      </c>
      <c r="B1304" t="s">
        <v>101</v>
      </c>
      <c r="C1304" t="s">
        <v>102</v>
      </c>
    </row>
    <row r="1305" spans="1:5" x14ac:dyDescent="0.35">
      <c r="A1305" t="s">
        <v>3</v>
      </c>
    </row>
    <row r="1306" spans="1:5" x14ac:dyDescent="0.35">
      <c r="A1306" t="s">
        <v>3</v>
      </c>
    </row>
    <row r="1307" spans="1:5" x14ac:dyDescent="0.35">
      <c r="A1307" t="s">
        <v>159</v>
      </c>
      <c r="B1307" t="s">
        <v>11</v>
      </c>
    </row>
    <row r="1308" spans="1:5" x14ac:dyDescent="0.35">
      <c r="A1308" t="s">
        <v>64</v>
      </c>
      <c r="B1308" t="s">
        <v>18</v>
      </c>
    </row>
    <row r="1309" spans="1:5" x14ac:dyDescent="0.35">
      <c r="A1309" t="s">
        <v>1</v>
      </c>
      <c r="B1309" t="s">
        <v>87</v>
      </c>
      <c r="C1309" t="s">
        <v>186</v>
      </c>
    </row>
    <row r="1310" spans="1:5" x14ac:dyDescent="0.35">
      <c r="A1310" t="s">
        <v>1</v>
      </c>
    </row>
    <row r="1311" spans="1:5" x14ac:dyDescent="0.35">
      <c r="A1311" t="s">
        <v>8</v>
      </c>
    </row>
    <row r="1312" spans="1:5" x14ac:dyDescent="0.35">
      <c r="A1312" t="s">
        <v>5</v>
      </c>
    </row>
    <row r="1313" spans="1:6" x14ac:dyDescent="0.35">
      <c r="A1313" t="s">
        <v>64</v>
      </c>
      <c r="B1313" t="s">
        <v>65</v>
      </c>
      <c r="C1313" t="s">
        <v>66</v>
      </c>
      <c r="D1313" t="s">
        <v>18</v>
      </c>
      <c r="E1313" t="s">
        <v>67</v>
      </c>
      <c r="F1313" t="s">
        <v>68</v>
      </c>
    </row>
    <row r="1314" spans="1:6" x14ac:dyDescent="0.35">
      <c r="A1314" t="s">
        <v>28</v>
      </c>
    </row>
    <row r="1315" spans="1:6" x14ac:dyDescent="0.35">
      <c r="A1315" t="s">
        <v>100</v>
      </c>
      <c r="B1315" t="s">
        <v>101</v>
      </c>
      <c r="C1315" t="s">
        <v>102</v>
      </c>
    </row>
    <row r="1316" spans="1:6" x14ac:dyDescent="0.35">
      <c r="A1316" t="s">
        <v>1</v>
      </c>
      <c r="B1316" t="s">
        <v>87</v>
      </c>
      <c r="C1316" t="s">
        <v>170</v>
      </c>
    </row>
    <row r="1317" spans="1:6" x14ac:dyDescent="0.35">
      <c r="A1317" t="s">
        <v>4</v>
      </c>
    </row>
    <row r="1318" spans="1:6" x14ac:dyDescent="0.35">
      <c r="A1318" t="s">
        <v>50</v>
      </c>
      <c r="B1318" t="s">
        <v>51</v>
      </c>
      <c r="C1318" t="s">
        <v>52</v>
      </c>
      <c r="D1318" t="s">
        <v>63</v>
      </c>
    </row>
    <row r="1319" spans="1:6" x14ac:dyDescent="0.35">
      <c r="A1319" t="s">
        <v>17</v>
      </c>
    </row>
    <row r="1320" spans="1:6" x14ac:dyDescent="0.35">
      <c r="A1320" t="s">
        <v>50</v>
      </c>
      <c r="B1320" t="s">
        <v>51</v>
      </c>
      <c r="C1320" t="s">
        <v>52</v>
      </c>
    </row>
    <row r="1321" spans="1:6" x14ac:dyDescent="0.35">
      <c r="A1321" t="s">
        <v>8</v>
      </c>
    </row>
    <row r="1322" spans="1:6" x14ac:dyDescent="0.35">
      <c r="A1322" t="s">
        <v>5</v>
      </c>
    </row>
    <row r="1323" spans="1:6" x14ac:dyDescent="0.35">
      <c r="A1323" t="s">
        <v>12</v>
      </c>
    </row>
    <row r="1324" spans="1:6" x14ac:dyDescent="0.35">
      <c r="A1324" t="s">
        <v>81</v>
      </c>
      <c r="B1324" t="s">
        <v>11</v>
      </c>
    </row>
    <row r="1325" spans="1:6" x14ac:dyDescent="0.35">
      <c r="A1325" t="s">
        <v>14</v>
      </c>
    </row>
    <row r="1326" spans="1:6" x14ac:dyDescent="0.35">
      <c r="A1326" t="s">
        <v>187</v>
      </c>
      <c r="B1326" t="s">
        <v>167</v>
      </c>
      <c r="C1326" t="s">
        <v>168</v>
      </c>
      <c r="D1326" t="s">
        <v>169</v>
      </c>
    </row>
    <row r="1327" spans="1:6" x14ac:dyDescent="0.35">
      <c r="A1327" t="s">
        <v>115</v>
      </c>
      <c r="B1327" t="s">
        <v>11</v>
      </c>
    </row>
    <row r="1328" spans="1:6" x14ac:dyDescent="0.35">
      <c r="A1328" t="s">
        <v>15</v>
      </c>
    </row>
    <row r="1329" spans="1:6" x14ac:dyDescent="0.35">
      <c r="A1329" t="s">
        <v>50</v>
      </c>
      <c r="B1329" t="s">
        <v>51</v>
      </c>
      <c r="C1329" t="s">
        <v>52</v>
      </c>
      <c r="D1329" t="s">
        <v>63</v>
      </c>
    </row>
    <row r="1330" spans="1:6" x14ac:dyDescent="0.35">
      <c r="A1330" t="s">
        <v>96</v>
      </c>
      <c r="B1330" t="s">
        <v>18</v>
      </c>
    </row>
    <row r="1331" spans="1:6" x14ac:dyDescent="0.35">
      <c r="A1331" t="s">
        <v>50</v>
      </c>
      <c r="B1331" t="s">
        <v>51</v>
      </c>
      <c r="C1331" t="s">
        <v>52</v>
      </c>
      <c r="D1331" t="s">
        <v>112</v>
      </c>
    </row>
    <row r="1332" spans="1:6" x14ac:dyDescent="0.35">
      <c r="A1332" t="s">
        <v>50</v>
      </c>
      <c r="B1332" t="s">
        <v>51</v>
      </c>
      <c r="C1332" t="s">
        <v>52</v>
      </c>
      <c r="D1332" t="s">
        <v>63</v>
      </c>
    </row>
    <row r="1333" spans="1:6" x14ac:dyDescent="0.35">
      <c r="A1333" t="s">
        <v>10</v>
      </c>
    </row>
    <row r="1334" spans="1:6" x14ac:dyDescent="0.35">
      <c r="A1334" t="s">
        <v>50</v>
      </c>
      <c r="B1334" t="s">
        <v>51</v>
      </c>
      <c r="C1334" t="s">
        <v>52</v>
      </c>
      <c r="D1334" t="s">
        <v>61</v>
      </c>
    </row>
    <row r="1335" spans="1:6" x14ac:dyDescent="0.35">
      <c r="A1335" t="s">
        <v>12</v>
      </c>
    </row>
    <row r="1336" spans="1:6" x14ac:dyDescent="0.35">
      <c r="A1336" t="s">
        <v>12</v>
      </c>
    </row>
    <row r="1337" spans="1:6" x14ac:dyDescent="0.35">
      <c r="A1337" t="s">
        <v>56</v>
      </c>
      <c r="B1337" t="s">
        <v>57</v>
      </c>
    </row>
    <row r="1338" spans="1:6" x14ac:dyDescent="0.35">
      <c r="A1338" t="s">
        <v>105</v>
      </c>
      <c r="B1338" t="s">
        <v>14</v>
      </c>
    </row>
    <row r="1339" spans="1:6" x14ac:dyDescent="0.35">
      <c r="A1339" t="s">
        <v>56</v>
      </c>
      <c r="B1339" t="s">
        <v>57</v>
      </c>
    </row>
    <row r="1340" spans="1:6" x14ac:dyDescent="0.35">
      <c r="A1340" t="s">
        <v>64</v>
      </c>
      <c r="B1340" t="s">
        <v>65</v>
      </c>
      <c r="C1340" t="s">
        <v>66</v>
      </c>
      <c r="D1340" t="s">
        <v>18</v>
      </c>
      <c r="E1340" t="s">
        <v>67</v>
      </c>
      <c r="F1340" t="s">
        <v>68</v>
      </c>
    </row>
    <row r="1341" spans="1:6" x14ac:dyDescent="0.35">
      <c r="A1341" t="s">
        <v>123</v>
      </c>
      <c r="B1341" t="s">
        <v>175</v>
      </c>
      <c r="C1341" t="s">
        <v>124</v>
      </c>
      <c r="D1341" t="s">
        <v>125</v>
      </c>
    </row>
    <row r="1342" spans="1:6" x14ac:dyDescent="0.35">
      <c r="A1342" t="s">
        <v>183</v>
      </c>
      <c r="B1342" t="s">
        <v>184</v>
      </c>
      <c r="C1342" t="s">
        <v>185</v>
      </c>
      <c r="D1342" t="s">
        <v>66</v>
      </c>
      <c r="E1342" t="s">
        <v>18</v>
      </c>
      <c r="F1342" t="s">
        <v>67</v>
      </c>
    </row>
    <row r="1343" spans="1:6" x14ac:dyDescent="0.35">
      <c r="A1343" t="s">
        <v>4</v>
      </c>
    </row>
    <row r="1344" spans="1:6" x14ac:dyDescent="0.35">
      <c r="A1344" t="s">
        <v>18</v>
      </c>
      <c r="B1344" t="s">
        <v>130</v>
      </c>
    </row>
    <row r="1345" spans="1:7" x14ac:dyDescent="0.35">
      <c r="A1345" t="s">
        <v>56</v>
      </c>
      <c r="B1345" t="s">
        <v>57</v>
      </c>
    </row>
    <row r="1346" spans="1:7" x14ac:dyDescent="0.35">
      <c r="A1346" t="s">
        <v>18</v>
      </c>
      <c r="B1346" t="s">
        <v>160</v>
      </c>
    </row>
    <row r="1347" spans="1:7" x14ac:dyDescent="0.35">
      <c r="A1347" t="s">
        <v>6</v>
      </c>
    </row>
    <row r="1348" spans="1:7" x14ac:dyDescent="0.35">
      <c r="A1348" t="s">
        <v>2</v>
      </c>
    </row>
    <row r="1349" spans="1:7" x14ac:dyDescent="0.35">
      <c r="A1349" t="s">
        <v>64</v>
      </c>
      <c r="B1349" t="s">
        <v>65</v>
      </c>
      <c r="C1349" t="s">
        <v>66</v>
      </c>
      <c r="D1349" t="s">
        <v>18</v>
      </c>
      <c r="E1349" t="s">
        <v>129</v>
      </c>
      <c r="F1349" t="s">
        <v>67</v>
      </c>
      <c r="G1349" t="s">
        <v>68</v>
      </c>
    </row>
    <row r="1350" spans="1:7" x14ac:dyDescent="0.35">
      <c r="A1350" t="s">
        <v>12</v>
      </c>
    </row>
    <row r="1351" spans="1:7" x14ac:dyDescent="0.35">
      <c r="A1351" t="s">
        <v>81</v>
      </c>
      <c r="B1351" t="s">
        <v>11</v>
      </c>
    </row>
    <row r="1352" spans="1:7" x14ac:dyDescent="0.35">
      <c r="A1352" t="s">
        <v>56</v>
      </c>
      <c r="B1352" t="s">
        <v>57</v>
      </c>
    </row>
    <row r="1353" spans="1:7" x14ac:dyDescent="0.35">
      <c r="A1353" t="s">
        <v>50</v>
      </c>
      <c r="B1353" t="s">
        <v>51</v>
      </c>
      <c r="C1353" t="s">
        <v>52</v>
      </c>
      <c r="D1353" t="s">
        <v>112</v>
      </c>
    </row>
    <row r="1354" spans="1:7" x14ac:dyDescent="0.35">
      <c r="A1354" t="s">
        <v>96</v>
      </c>
      <c r="B1354" t="s">
        <v>18</v>
      </c>
    </row>
    <row r="1355" spans="1:7" x14ac:dyDescent="0.35">
      <c r="A1355" t="s">
        <v>155</v>
      </c>
      <c r="B1355" t="s">
        <v>156</v>
      </c>
      <c r="C1355" t="s">
        <v>157</v>
      </c>
    </row>
    <row r="1356" spans="1:7" x14ac:dyDescent="0.35">
      <c r="A1356" t="s">
        <v>11</v>
      </c>
    </row>
    <row r="1357" spans="1:7" x14ac:dyDescent="0.35">
      <c r="A1357" t="s">
        <v>5</v>
      </c>
    </row>
    <row r="1358" spans="1:7" x14ac:dyDescent="0.35">
      <c r="A1358" t="s">
        <v>50</v>
      </c>
      <c r="B1358" t="s">
        <v>51</v>
      </c>
      <c r="C1358" t="s">
        <v>52</v>
      </c>
      <c r="D1358" t="s">
        <v>63</v>
      </c>
    </row>
    <row r="1359" spans="1:7" x14ac:dyDescent="0.35">
      <c r="A1359" t="s">
        <v>50</v>
      </c>
      <c r="B1359" t="s">
        <v>51</v>
      </c>
      <c r="C1359" t="s">
        <v>52</v>
      </c>
    </row>
    <row r="1360" spans="1:7" x14ac:dyDescent="0.35">
      <c r="A1360" t="s">
        <v>3</v>
      </c>
    </row>
    <row r="1361" spans="1:7" x14ac:dyDescent="0.35">
      <c r="A1361" t="s">
        <v>93</v>
      </c>
      <c r="B1361" t="s">
        <v>50</v>
      </c>
      <c r="C1361" t="s">
        <v>51</v>
      </c>
      <c r="D1361" t="s">
        <v>52</v>
      </c>
      <c r="E1361" t="s">
        <v>94</v>
      </c>
      <c r="F1361" t="s">
        <v>77</v>
      </c>
      <c r="G1361" t="s">
        <v>95</v>
      </c>
    </row>
    <row r="1362" spans="1:7" x14ac:dyDescent="0.35">
      <c r="A1362" t="s">
        <v>64</v>
      </c>
      <c r="B1362" t="s">
        <v>65</v>
      </c>
      <c r="C1362" t="s">
        <v>66</v>
      </c>
      <c r="D1362" t="s">
        <v>18</v>
      </c>
      <c r="E1362" t="s">
        <v>67</v>
      </c>
      <c r="F1362" t="s">
        <v>68</v>
      </c>
    </row>
    <row r="1363" spans="1:7" x14ac:dyDescent="0.35">
      <c r="A1363" t="s">
        <v>1</v>
      </c>
      <c r="B1363" t="s">
        <v>87</v>
      </c>
      <c r="C1363" t="s">
        <v>188</v>
      </c>
    </row>
    <row r="1364" spans="1:7" x14ac:dyDescent="0.35">
      <c r="A1364" t="s">
        <v>108</v>
      </c>
      <c r="B1364" t="s">
        <v>11</v>
      </c>
    </row>
    <row r="1365" spans="1:7" x14ac:dyDescent="0.35">
      <c r="A1365" t="s">
        <v>109</v>
      </c>
      <c r="B1365" t="s">
        <v>110</v>
      </c>
      <c r="C1365" t="s">
        <v>111</v>
      </c>
    </row>
    <row r="1366" spans="1:7" x14ac:dyDescent="0.35">
      <c r="A1366" t="s">
        <v>81</v>
      </c>
      <c r="B1366" t="s">
        <v>11</v>
      </c>
    </row>
    <row r="1367" spans="1:7" x14ac:dyDescent="0.35">
      <c r="A1367" t="s">
        <v>50</v>
      </c>
      <c r="B1367" t="s">
        <v>51</v>
      </c>
      <c r="C1367" t="s">
        <v>52</v>
      </c>
    </row>
    <row r="1368" spans="1:7" x14ac:dyDescent="0.35">
      <c r="A1368" t="s">
        <v>11</v>
      </c>
    </row>
    <row r="1369" spans="1:7" x14ac:dyDescent="0.35">
      <c r="A1369" t="s">
        <v>7</v>
      </c>
    </row>
    <row r="1370" spans="1:7" x14ac:dyDescent="0.35">
      <c r="A1370" t="s">
        <v>3</v>
      </c>
    </row>
    <row r="1371" spans="1:7" x14ac:dyDescent="0.35">
      <c r="A1371" t="s">
        <v>50</v>
      </c>
      <c r="B1371" t="s">
        <v>51</v>
      </c>
      <c r="C1371" t="s">
        <v>52</v>
      </c>
    </row>
    <row r="1372" spans="1:7" x14ac:dyDescent="0.35">
      <c r="A1372" t="s">
        <v>81</v>
      </c>
      <c r="B1372" t="s">
        <v>11</v>
      </c>
    </row>
    <row r="1373" spans="1:7" x14ac:dyDescent="0.35">
      <c r="A1373" t="s">
        <v>50</v>
      </c>
      <c r="B1373" t="s">
        <v>51</v>
      </c>
      <c r="C1373" t="s">
        <v>52</v>
      </c>
      <c r="D1373" t="s">
        <v>63</v>
      </c>
    </row>
    <row r="1374" spans="1:7" x14ac:dyDescent="0.35">
      <c r="A1374" t="s">
        <v>96</v>
      </c>
      <c r="B1374" t="s">
        <v>18</v>
      </c>
    </row>
    <row r="1375" spans="1:7" x14ac:dyDescent="0.35">
      <c r="A1375" t="s">
        <v>1</v>
      </c>
    </row>
    <row r="1376" spans="1:7" x14ac:dyDescent="0.35">
      <c r="A1376" t="s">
        <v>50</v>
      </c>
      <c r="B1376" t="s">
        <v>51</v>
      </c>
      <c r="C1376" t="s">
        <v>52</v>
      </c>
      <c r="D1376" t="s">
        <v>92</v>
      </c>
    </row>
    <row r="1377" spans="1:7" x14ac:dyDescent="0.35">
      <c r="A1377" t="s">
        <v>3</v>
      </c>
      <c r="B1377" t="s">
        <v>117</v>
      </c>
    </row>
    <row r="1378" spans="1:7" x14ac:dyDescent="0.35">
      <c r="A1378" t="s">
        <v>7</v>
      </c>
    </row>
    <row r="1379" spans="1:7" x14ac:dyDescent="0.35">
      <c r="A1379" t="s">
        <v>64</v>
      </c>
      <c r="B1379" t="s">
        <v>66</v>
      </c>
      <c r="C1379" t="s">
        <v>18</v>
      </c>
      <c r="D1379" t="s">
        <v>67</v>
      </c>
      <c r="E1379" t="s">
        <v>68</v>
      </c>
    </row>
    <row r="1380" spans="1:7" x14ac:dyDescent="0.35">
      <c r="A1380" t="s">
        <v>100</v>
      </c>
      <c r="B1380" t="s">
        <v>101</v>
      </c>
      <c r="C1380" t="s">
        <v>102</v>
      </c>
    </row>
    <row r="1381" spans="1:7" x14ac:dyDescent="0.35">
      <c r="A1381" t="s">
        <v>17</v>
      </c>
    </row>
    <row r="1382" spans="1:7" x14ac:dyDescent="0.35">
      <c r="A1382" t="s">
        <v>10</v>
      </c>
    </row>
    <row r="1383" spans="1:7" x14ac:dyDescent="0.35">
      <c r="A1383" t="s">
        <v>12</v>
      </c>
    </row>
    <row r="1384" spans="1:7" x14ac:dyDescent="0.35">
      <c r="A1384" t="s">
        <v>4</v>
      </c>
    </row>
    <row r="1385" spans="1:7" x14ac:dyDescent="0.35">
      <c r="A1385" t="s">
        <v>93</v>
      </c>
      <c r="B1385" t="s">
        <v>50</v>
      </c>
      <c r="C1385" t="s">
        <v>51</v>
      </c>
      <c r="D1385" t="s">
        <v>52</v>
      </c>
      <c r="E1385" t="s">
        <v>94</v>
      </c>
      <c r="F1385" t="s">
        <v>77</v>
      </c>
      <c r="G1385" t="s">
        <v>95</v>
      </c>
    </row>
    <row r="1386" spans="1:7" x14ac:dyDescent="0.35">
      <c r="A1386" t="s">
        <v>6</v>
      </c>
    </row>
    <row r="1387" spans="1:7" x14ac:dyDescent="0.35">
      <c r="A1387" t="s">
        <v>50</v>
      </c>
      <c r="B1387" t="s">
        <v>51</v>
      </c>
      <c r="C1387" t="s">
        <v>52</v>
      </c>
    </row>
    <row r="1388" spans="1:7" x14ac:dyDescent="0.35">
      <c r="A1388" t="s">
        <v>64</v>
      </c>
      <c r="B1388" t="s">
        <v>65</v>
      </c>
      <c r="C1388" t="s">
        <v>158</v>
      </c>
      <c r="D1388" t="s">
        <v>66</v>
      </c>
      <c r="E1388" t="s">
        <v>18</v>
      </c>
      <c r="F1388" t="s">
        <v>67</v>
      </c>
      <c r="G1388" t="s">
        <v>68</v>
      </c>
    </row>
    <row r="1389" spans="1:7" x14ac:dyDescent="0.35">
      <c r="A1389" t="s">
        <v>10</v>
      </c>
    </row>
    <row r="1390" spans="1:7" x14ac:dyDescent="0.35">
      <c r="A1390" t="s">
        <v>50</v>
      </c>
      <c r="B1390" t="s">
        <v>51</v>
      </c>
      <c r="C1390" t="s">
        <v>52</v>
      </c>
    </row>
    <row r="1391" spans="1:7" x14ac:dyDescent="0.35">
      <c r="A1391" t="s">
        <v>29</v>
      </c>
    </row>
    <row r="1392" spans="1:7" x14ac:dyDescent="0.35">
      <c r="A1392" t="s">
        <v>1</v>
      </c>
      <c r="B1392" t="s">
        <v>87</v>
      </c>
      <c r="C1392" t="s">
        <v>120</v>
      </c>
    </row>
    <row r="1393" spans="1:6" x14ac:dyDescent="0.35">
      <c r="A1393" t="s">
        <v>50</v>
      </c>
      <c r="B1393" t="s">
        <v>51</v>
      </c>
      <c r="C1393" t="s">
        <v>52</v>
      </c>
      <c r="D1393" t="s">
        <v>60</v>
      </c>
      <c r="E1393" t="s">
        <v>61</v>
      </c>
      <c r="F1393" t="s">
        <v>62</v>
      </c>
    </row>
    <row r="1394" spans="1:6" x14ac:dyDescent="0.35">
      <c r="A1394" t="s">
        <v>4</v>
      </c>
    </row>
    <row r="1395" spans="1:6" x14ac:dyDescent="0.35">
      <c r="A1395" t="s">
        <v>1</v>
      </c>
      <c r="B1395" t="s">
        <v>87</v>
      </c>
      <c r="C1395" t="s">
        <v>128</v>
      </c>
    </row>
    <row r="1396" spans="1:6" x14ac:dyDescent="0.35">
      <c r="A1396" t="s">
        <v>3</v>
      </c>
    </row>
    <row r="1397" spans="1:6" x14ac:dyDescent="0.35">
      <c r="A1397" t="s">
        <v>17</v>
      </c>
    </row>
    <row r="1398" spans="1:6" x14ac:dyDescent="0.35">
      <c r="A1398" t="s">
        <v>115</v>
      </c>
      <c r="B1398" t="s">
        <v>11</v>
      </c>
    </row>
    <row r="1399" spans="1:6" x14ac:dyDescent="0.35">
      <c r="A1399" t="s">
        <v>81</v>
      </c>
      <c r="B1399" t="s">
        <v>11</v>
      </c>
    </row>
    <row r="1400" spans="1:6" x14ac:dyDescent="0.35">
      <c r="A1400" t="s">
        <v>50</v>
      </c>
      <c r="B1400" t="s">
        <v>51</v>
      </c>
      <c r="C1400" t="s">
        <v>52</v>
      </c>
      <c r="D1400" t="s">
        <v>63</v>
      </c>
    </row>
    <row r="1401" spans="1:6" x14ac:dyDescent="0.35">
      <c r="A1401" t="s">
        <v>4</v>
      </c>
    </row>
    <row r="1402" spans="1:6" x14ac:dyDescent="0.35">
      <c r="A1402" t="s">
        <v>7</v>
      </c>
    </row>
    <row r="1403" spans="1:6" x14ac:dyDescent="0.35">
      <c r="A1403" t="s">
        <v>56</v>
      </c>
      <c r="B1403" t="s">
        <v>57</v>
      </c>
      <c r="C1403" t="s">
        <v>132</v>
      </c>
      <c r="D1403" t="s">
        <v>99</v>
      </c>
    </row>
    <row r="1404" spans="1:6" x14ac:dyDescent="0.35">
      <c r="A1404" t="s">
        <v>1</v>
      </c>
      <c r="B1404" t="s">
        <v>134</v>
      </c>
    </row>
    <row r="1405" spans="1:6" x14ac:dyDescent="0.35">
      <c r="A1405" t="s">
        <v>12</v>
      </c>
    </row>
    <row r="1406" spans="1:6" x14ac:dyDescent="0.35">
      <c r="A1406" t="s">
        <v>50</v>
      </c>
      <c r="B1406" t="s">
        <v>51</v>
      </c>
      <c r="C1406" t="s">
        <v>52</v>
      </c>
      <c r="D1406" t="s">
        <v>63</v>
      </c>
    </row>
    <row r="1407" spans="1:6" x14ac:dyDescent="0.35">
      <c r="A1407" t="s">
        <v>7</v>
      </c>
    </row>
    <row r="1408" spans="1:6" x14ac:dyDescent="0.35">
      <c r="A1408" t="s">
        <v>56</v>
      </c>
      <c r="B1408" t="s">
        <v>57</v>
      </c>
    </row>
    <row r="1409" spans="1:5" x14ac:dyDescent="0.35">
      <c r="A1409" t="s">
        <v>12</v>
      </c>
    </row>
    <row r="1410" spans="1:5" x14ac:dyDescent="0.35">
      <c r="A1410" t="s">
        <v>50</v>
      </c>
      <c r="B1410" t="s">
        <v>51</v>
      </c>
      <c r="C1410" t="s">
        <v>52</v>
      </c>
    </row>
    <row r="1411" spans="1:5" x14ac:dyDescent="0.35">
      <c r="A1411" t="s">
        <v>10</v>
      </c>
    </row>
    <row r="1412" spans="1:5" x14ac:dyDescent="0.35">
      <c r="A1412" t="s">
        <v>15</v>
      </c>
    </row>
    <row r="1413" spans="1:5" x14ac:dyDescent="0.35">
      <c r="A1413" t="s">
        <v>6</v>
      </c>
    </row>
    <row r="1414" spans="1:5" x14ac:dyDescent="0.35">
      <c r="A1414" t="s">
        <v>64</v>
      </c>
      <c r="B1414" t="s">
        <v>66</v>
      </c>
      <c r="C1414" t="s">
        <v>18</v>
      </c>
      <c r="D1414" t="s">
        <v>67</v>
      </c>
      <c r="E1414" t="s">
        <v>68</v>
      </c>
    </row>
    <row r="1415" spans="1:5" x14ac:dyDescent="0.35">
      <c r="A1415" t="s">
        <v>148</v>
      </c>
      <c r="B1415" t="s">
        <v>18</v>
      </c>
    </row>
    <row r="1416" spans="1:5" x14ac:dyDescent="0.35">
      <c r="A1416" t="s">
        <v>18</v>
      </c>
    </row>
    <row r="1417" spans="1:5" x14ac:dyDescent="0.35">
      <c r="A1417" t="s">
        <v>18</v>
      </c>
      <c r="B1417" t="s">
        <v>160</v>
      </c>
    </row>
    <row r="1418" spans="1:5" x14ac:dyDescent="0.35">
      <c r="A1418" t="s">
        <v>50</v>
      </c>
      <c r="B1418" t="s">
        <v>51</v>
      </c>
      <c r="C1418" t="s">
        <v>52</v>
      </c>
    </row>
    <row r="1419" spans="1:5" x14ac:dyDescent="0.35">
      <c r="A1419" t="s">
        <v>50</v>
      </c>
      <c r="B1419" t="s">
        <v>51</v>
      </c>
      <c r="C1419" t="s">
        <v>52</v>
      </c>
      <c r="D1419" t="s">
        <v>63</v>
      </c>
    </row>
    <row r="1420" spans="1:5" x14ac:dyDescent="0.35">
      <c r="A1420" t="s">
        <v>1</v>
      </c>
    </row>
    <row r="1421" spans="1:5" x14ac:dyDescent="0.35">
      <c r="A1421" t="s">
        <v>96</v>
      </c>
      <c r="B1421" t="s">
        <v>18</v>
      </c>
    </row>
    <row r="1422" spans="1:5" x14ac:dyDescent="0.35">
      <c r="A1422" t="s">
        <v>100</v>
      </c>
      <c r="B1422" t="s">
        <v>101</v>
      </c>
      <c r="C1422" t="s">
        <v>102</v>
      </c>
    </row>
    <row r="1423" spans="1:5" x14ac:dyDescent="0.35">
      <c r="A1423" t="s">
        <v>5</v>
      </c>
    </row>
    <row r="1424" spans="1:5" x14ac:dyDescent="0.35">
      <c r="A1424" t="s">
        <v>64</v>
      </c>
      <c r="B1424" t="s">
        <v>65</v>
      </c>
      <c r="C1424" t="s">
        <v>18</v>
      </c>
    </row>
    <row r="1425" spans="1:6" x14ac:dyDescent="0.35">
      <c r="A1425" t="s">
        <v>64</v>
      </c>
      <c r="B1425" t="s">
        <v>65</v>
      </c>
      <c r="C1425" t="s">
        <v>66</v>
      </c>
      <c r="D1425" t="s">
        <v>18</v>
      </c>
      <c r="E1425" t="s">
        <v>67</v>
      </c>
      <c r="F1425" t="s">
        <v>68</v>
      </c>
    </row>
    <row r="1426" spans="1:6" x14ac:dyDescent="0.35">
      <c r="A1426" t="s">
        <v>10</v>
      </c>
    </row>
    <row r="1427" spans="1:6" x14ac:dyDescent="0.35">
      <c r="A1427" t="s">
        <v>50</v>
      </c>
      <c r="B1427" t="s">
        <v>51</v>
      </c>
      <c r="C1427" t="s">
        <v>52</v>
      </c>
    </row>
    <row r="1428" spans="1:6" x14ac:dyDescent="0.35">
      <c r="A1428" t="s">
        <v>50</v>
      </c>
      <c r="B1428" t="s">
        <v>51</v>
      </c>
      <c r="C1428" t="s">
        <v>52</v>
      </c>
      <c r="D1428" t="s">
        <v>63</v>
      </c>
    </row>
    <row r="1429" spans="1:6" x14ac:dyDescent="0.35">
      <c r="A1429" t="s">
        <v>50</v>
      </c>
      <c r="B1429" t="s">
        <v>51</v>
      </c>
      <c r="C1429" t="s">
        <v>52</v>
      </c>
      <c r="D1429" t="s">
        <v>61</v>
      </c>
    </row>
    <row r="1430" spans="1:6" x14ac:dyDescent="0.35">
      <c r="A1430" t="s">
        <v>10</v>
      </c>
    </row>
    <row r="1431" spans="1:6" x14ac:dyDescent="0.35">
      <c r="A1431" t="s">
        <v>4</v>
      </c>
    </row>
    <row r="1432" spans="1:6" x14ac:dyDescent="0.35">
      <c r="A1432" t="s">
        <v>11</v>
      </c>
      <c r="B1432" t="s">
        <v>107</v>
      </c>
    </row>
    <row r="1433" spans="1:6" x14ac:dyDescent="0.35">
      <c r="A1433" t="s">
        <v>3</v>
      </c>
    </row>
    <row r="1434" spans="1:6" x14ac:dyDescent="0.35">
      <c r="A1434" t="s">
        <v>174</v>
      </c>
      <c r="B1434" t="s">
        <v>189</v>
      </c>
      <c r="C1434" t="s">
        <v>151</v>
      </c>
      <c r="D1434" t="s">
        <v>152</v>
      </c>
      <c r="E1434" t="s">
        <v>153</v>
      </c>
    </row>
    <row r="1435" spans="1:6" x14ac:dyDescent="0.35">
      <c r="A1435" t="s">
        <v>1</v>
      </c>
      <c r="B1435" t="s">
        <v>87</v>
      </c>
      <c r="C1435" t="s">
        <v>131</v>
      </c>
    </row>
    <row r="1436" spans="1:6" x14ac:dyDescent="0.35">
      <c r="A1436" t="s">
        <v>50</v>
      </c>
      <c r="B1436" t="s">
        <v>51</v>
      </c>
      <c r="C1436" t="s">
        <v>52</v>
      </c>
    </row>
    <row r="1437" spans="1:6" x14ac:dyDescent="0.35">
      <c r="A1437" t="s">
        <v>1</v>
      </c>
    </row>
    <row r="1438" spans="1:6" x14ac:dyDescent="0.35">
      <c r="A1438" t="s">
        <v>8</v>
      </c>
    </row>
    <row r="1439" spans="1:6" x14ac:dyDescent="0.35">
      <c r="A1439" t="s">
        <v>10</v>
      </c>
    </row>
    <row r="1440" spans="1:6" x14ac:dyDescent="0.35">
      <c r="A1440" t="s">
        <v>56</v>
      </c>
      <c r="B1440" t="s">
        <v>57</v>
      </c>
    </row>
    <row r="1441" spans="1:9" x14ac:dyDescent="0.35">
      <c r="A1441" t="s">
        <v>12</v>
      </c>
    </row>
    <row r="1442" spans="1:9" x14ac:dyDescent="0.35">
      <c r="A1442" t="s">
        <v>50</v>
      </c>
      <c r="B1442" t="s">
        <v>51</v>
      </c>
      <c r="C1442" t="s">
        <v>52</v>
      </c>
      <c r="D1442" t="s">
        <v>63</v>
      </c>
    </row>
    <row r="1443" spans="1:9" x14ac:dyDescent="0.35">
      <c r="A1443" t="s">
        <v>1</v>
      </c>
      <c r="B1443" t="s">
        <v>87</v>
      </c>
      <c r="C1443" t="s">
        <v>131</v>
      </c>
    </row>
    <row r="1444" spans="1:9" x14ac:dyDescent="0.35">
      <c r="A1444" t="s">
        <v>50</v>
      </c>
      <c r="B1444" t="s">
        <v>51</v>
      </c>
      <c r="C1444" t="s">
        <v>52</v>
      </c>
      <c r="D1444" t="s">
        <v>63</v>
      </c>
    </row>
    <row r="1445" spans="1:9" x14ac:dyDescent="0.35">
      <c r="A1445" t="s">
        <v>1</v>
      </c>
      <c r="B1445" t="s">
        <v>87</v>
      </c>
      <c r="C1445" t="s">
        <v>131</v>
      </c>
    </row>
    <row r="1446" spans="1:9" x14ac:dyDescent="0.35">
      <c r="A1446" t="s">
        <v>18</v>
      </c>
      <c r="B1446" t="s">
        <v>130</v>
      </c>
    </row>
    <row r="1447" spans="1:9" x14ac:dyDescent="0.35">
      <c r="A1447" t="s">
        <v>159</v>
      </c>
      <c r="B1447" t="s">
        <v>11</v>
      </c>
    </row>
    <row r="1448" spans="1:9" x14ac:dyDescent="0.35">
      <c r="A1448" t="s">
        <v>1</v>
      </c>
    </row>
    <row r="1449" spans="1:9" x14ac:dyDescent="0.35">
      <c r="A1449" t="s">
        <v>93</v>
      </c>
      <c r="B1449" t="s">
        <v>50</v>
      </c>
      <c r="C1449" t="s">
        <v>51</v>
      </c>
      <c r="D1449" t="s">
        <v>52</v>
      </c>
      <c r="E1449" t="s">
        <v>94</v>
      </c>
      <c r="F1449" t="s">
        <v>77</v>
      </c>
      <c r="G1449" t="s">
        <v>95</v>
      </c>
    </row>
    <row r="1450" spans="1:9" x14ac:dyDescent="0.35">
      <c r="A1450" t="s">
        <v>11</v>
      </c>
    </row>
    <row r="1451" spans="1:9" x14ac:dyDescent="0.35">
      <c r="A1451" t="s">
        <v>1</v>
      </c>
    </row>
    <row r="1452" spans="1:9" x14ac:dyDescent="0.35">
      <c r="A1452" t="s">
        <v>3</v>
      </c>
    </row>
    <row r="1453" spans="1:9" x14ac:dyDescent="0.35">
      <c r="A1453" t="s">
        <v>12</v>
      </c>
    </row>
    <row r="1454" spans="1:9" x14ac:dyDescent="0.35">
      <c r="A1454" t="s">
        <v>100</v>
      </c>
      <c r="B1454" t="s">
        <v>101</v>
      </c>
      <c r="C1454" t="s">
        <v>102</v>
      </c>
    </row>
    <row r="1455" spans="1:9" x14ac:dyDescent="0.35">
      <c r="A1455" t="s">
        <v>56</v>
      </c>
      <c r="B1455" t="s">
        <v>57</v>
      </c>
    </row>
    <row r="1456" spans="1:9" x14ac:dyDescent="0.35">
      <c r="A1456" t="s">
        <v>138</v>
      </c>
      <c r="B1456" t="s">
        <v>139</v>
      </c>
      <c r="C1456" t="s">
        <v>140</v>
      </c>
      <c r="D1456" t="s">
        <v>141</v>
      </c>
      <c r="E1456" t="s">
        <v>142</v>
      </c>
      <c r="F1456" t="s">
        <v>124</v>
      </c>
      <c r="G1456" t="s">
        <v>143</v>
      </c>
      <c r="H1456" t="s">
        <v>161</v>
      </c>
      <c r="I1456" t="s">
        <v>145</v>
      </c>
    </row>
    <row r="1457" spans="1:7" x14ac:dyDescent="0.35">
      <c r="A1457" t="s">
        <v>8</v>
      </c>
    </row>
    <row r="1458" spans="1:7" x14ac:dyDescent="0.35">
      <c r="A1458" t="s">
        <v>50</v>
      </c>
      <c r="B1458" t="s">
        <v>51</v>
      </c>
      <c r="C1458" t="s">
        <v>52</v>
      </c>
      <c r="D1458" t="s">
        <v>63</v>
      </c>
    </row>
    <row r="1459" spans="1:7" x14ac:dyDescent="0.35">
      <c r="A1459" t="s">
        <v>96</v>
      </c>
      <c r="B1459" t="s">
        <v>18</v>
      </c>
    </row>
    <row r="1460" spans="1:7" x14ac:dyDescent="0.35">
      <c r="A1460" t="s">
        <v>50</v>
      </c>
      <c r="B1460" t="s">
        <v>51</v>
      </c>
      <c r="C1460" t="s">
        <v>52</v>
      </c>
    </row>
    <row r="1461" spans="1:7" x14ac:dyDescent="0.35">
      <c r="A1461" t="s">
        <v>93</v>
      </c>
      <c r="B1461" t="s">
        <v>50</v>
      </c>
      <c r="C1461" t="s">
        <v>51</v>
      </c>
      <c r="D1461" t="s">
        <v>52</v>
      </c>
      <c r="E1461" t="s">
        <v>94</v>
      </c>
      <c r="F1461" t="s">
        <v>77</v>
      </c>
      <c r="G1461" t="s">
        <v>95</v>
      </c>
    </row>
    <row r="1462" spans="1:7" x14ac:dyDescent="0.35">
      <c r="A1462" t="s">
        <v>159</v>
      </c>
      <c r="B1462" t="s">
        <v>11</v>
      </c>
    </row>
    <row r="1463" spans="1:7" x14ac:dyDescent="0.35">
      <c r="A1463" t="s">
        <v>50</v>
      </c>
      <c r="B1463" t="s">
        <v>51</v>
      </c>
      <c r="C1463" t="s">
        <v>52</v>
      </c>
      <c r="D1463" t="s">
        <v>77</v>
      </c>
      <c r="E1463" t="s">
        <v>83</v>
      </c>
      <c r="F1463" t="s">
        <v>84</v>
      </c>
    </row>
    <row r="1464" spans="1:7" x14ac:dyDescent="0.35">
      <c r="A1464" t="s">
        <v>50</v>
      </c>
      <c r="B1464" t="s">
        <v>51</v>
      </c>
      <c r="C1464" t="s">
        <v>52</v>
      </c>
      <c r="D1464" t="s">
        <v>63</v>
      </c>
    </row>
    <row r="1465" spans="1:7" x14ac:dyDescent="0.35">
      <c r="A1465" t="s">
        <v>105</v>
      </c>
      <c r="B1465" t="s">
        <v>14</v>
      </c>
    </row>
    <row r="1466" spans="1:7" x14ac:dyDescent="0.35">
      <c r="A1466" t="s">
        <v>50</v>
      </c>
      <c r="B1466" t="s">
        <v>51</v>
      </c>
      <c r="C1466" t="s">
        <v>52</v>
      </c>
    </row>
    <row r="1467" spans="1:7" x14ac:dyDescent="0.35">
      <c r="A1467" t="s">
        <v>96</v>
      </c>
      <c r="B1467" t="s">
        <v>18</v>
      </c>
    </row>
    <row r="1468" spans="1:7" x14ac:dyDescent="0.35">
      <c r="A1468" t="s">
        <v>50</v>
      </c>
      <c r="B1468" t="s">
        <v>51</v>
      </c>
      <c r="C1468" t="s">
        <v>52</v>
      </c>
      <c r="D1468" t="s">
        <v>61</v>
      </c>
    </row>
    <row r="1469" spans="1:7" x14ac:dyDescent="0.35">
      <c r="A1469" t="s">
        <v>1</v>
      </c>
    </row>
    <row r="1470" spans="1:7" x14ac:dyDescent="0.35">
      <c r="A1470" t="s">
        <v>7</v>
      </c>
    </row>
    <row r="1471" spans="1:7" x14ac:dyDescent="0.35">
      <c r="A1471" t="s">
        <v>96</v>
      </c>
      <c r="B1471" t="s">
        <v>18</v>
      </c>
    </row>
    <row r="1472" spans="1:7" x14ac:dyDescent="0.35">
      <c r="A1472" t="s">
        <v>50</v>
      </c>
      <c r="B1472" t="s">
        <v>51</v>
      </c>
      <c r="C1472" t="s">
        <v>52</v>
      </c>
      <c r="D1472" t="s">
        <v>63</v>
      </c>
    </row>
    <row r="1473" spans="1:6" x14ac:dyDescent="0.35">
      <c r="A1473" t="s">
        <v>105</v>
      </c>
      <c r="B1473" t="s">
        <v>137</v>
      </c>
      <c r="C1473" t="s">
        <v>11</v>
      </c>
    </row>
    <row r="1474" spans="1:6" x14ac:dyDescent="0.35">
      <c r="A1474" t="s">
        <v>1</v>
      </c>
    </row>
    <row r="1475" spans="1:6" x14ac:dyDescent="0.35">
      <c r="A1475" t="s">
        <v>12</v>
      </c>
    </row>
    <row r="1476" spans="1:6" x14ac:dyDescent="0.35">
      <c r="A1476" t="s">
        <v>10</v>
      </c>
    </row>
    <row r="1477" spans="1:6" x14ac:dyDescent="0.35">
      <c r="A1477" t="s">
        <v>50</v>
      </c>
      <c r="B1477" t="s">
        <v>51</v>
      </c>
      <c r="C1477" t="s">
        <v>52</v>
      </c>
      <c r="D1477" t="s">
        <v>72</v>
      </c>
      <c r="E1477" t="s">
        <v>73</v>
      </c>
      <c r="F1477" t="s">
        <v>113</v>
      </c>
    </row>
    <row r="1478" spans="1:6" x14ac:dyDescent="0.35">
      <c r="A1478" t="s">
        <v>64</v>
      </c>
      <c r="B1478" t="s">
        <v>65</v>
      </c>
      <c r="C1478" t="s">
        <v>66</v>
      </c>
      <c r="D1478" t="s">
        <v>18</v>
      </c>
      <c r="E1478" t="s">
        <v>67</v>
      </c>
      <c r="F1478" t="s">
        <v>68</v>
      </c>
    </row>
    <row r="1479" spans="1:6" x14ac:dyDescent="0.35">
      <c r="A1479" t="s">
        <v>50</v>
      </c>
      <c r="B1479" t="s">
        <v>51</v>
      </c>
      <c r="C1479" t="s">
        <v>52</v>
      </c>
      <c r="D1479" t="s">
        <v>63</v>
      </c>
    </row>
    <row r="1480" spans="1:6" x14ac:dyDescent="0.35">
      <c r="A1480" t="s">
        <v>50</v>
      </c>
      <c r="B1480" t="s">
        <v>51</v>
      </c>
      <c r="C1480" t="s">
        <v>52</v>
      </c>
    </row>
    <row r="1481" spans="1:6" x14ac:dyDescent="0.35">
      <c r="A1481" t="s">
        <v>23</v>
      </c>
    </row>
    <row r="1482" spans="1:6" x14ac:dyDescent="0.35">
      <c r="A1482" t="s">
        <v>50</v>
      </c>
      <c r="B1482" t="s">
        <v>51</v>
      </c>
      <c r="C1482" t="s">
        <v>52</v>
      </c>
      <c r="D1482" t="s">
        <v>63</v>
      </c>
    </row>
    <row r="1483" spans="1:6" x14ac:dyDescent="0.35">
      <c r="A1483" t="s">
        <v>64</v>
      </c>
      <c r="B1483" t="s">
        <v>65</v>
      </c>
      <c r="C1483" t="s">
        <v>66</v>
      </c>
      <c r="D1483" t="s">
        <v>18</v>
      </c>
      <c r="E1483" t="s">
        <v>67</v>
      </c>
      <c r="F1483" t="s">
        <v>68</v>
      </c>
    </row>
    <row r="1484" spans="1:6" x14ac:dyDescent="0.35">
      <c r="A1484" t="s">
        <v>11</v>
      </c>
      <c r="B1484" t="s">
        <v>107</v>
      </c>
    </row>
    <row r="1485" spans="1:6" x14ac:dyDescent="0.35">
      <c r="A1485" t="s">
        <v>15</v>
      </c>
    </row>
    <row r="1486" spans="1:6" x14ac:dyDescent="0.35">
      <c r="A1486" t="s">
        <v>81</v>
      </c>
      <c r="B1486" t="s">
        <v>11</v>
      </c>
    </row>
    <row r="1487" spans="1:6" x14ac:dyDescent="0.35">
      <c r="A1487" t="s">
        <v>3</v>
      </c>
    </row>
    <row r="1488" spans="1:6" x14ac:dyDescent="0.35">
      <c r="A1488" t="s">
        <v>11</v>
      </c>
    </row>
    <row r="1489" spans="1:7" x14ac:dyDescent="0.35">
      <c r="A1489" t="s">
        <v>18</v>
      </c>
      <c r="B1489" t="s">
        <v>190</v>
      </c>
    </row>
    <row r="1490" spans="1:7" x14ac:dyDescent="0.35">
      <c r="A1490" t="s">
        <v>108</v>
      </c>
      <c r="B1490" t="s">
        <v>11</v>
      </c>
    </row>
    <row r="1491" spans="1:7" x14ac:dyDescent="0.35">
      <c r="A1491" t="s">
        <v>50</v>
      </c>
      <c r="B1491" t="s">
        <v>51</v>
      </c>
      <c r="C1491" t="s">
        <v>52</v>
      </c>
    </row>
    <row r="1492" spans="1:7" x14ac:dyDescent="0.35">
      <c r="A1492" t="s">
        <v>2</v>
      </c>
    </row>
    <row r="1493" spans="1:7" x14ac:dyDescent="0.35">
      <c r="A1493" t="s">
        <v>121</v>
      </c>
      <c r="B1493" t="s">
        <v>122</v>
      </c>
    </row>
    <row r="1494" spans="1:7" x14ac:dyDescent="0.35">
      <c r="A1494" t="s">
        <v>17</v>
      </c>
    </row>
    <row r="1495" spans="1:7" x14ac:dyDescent="0.35">
      <c r="A1495" t="s">
        <v>18</v>
      </c>
      <c r="B1495" t="s">
        <v>130</v>
      </c>
    </row>
    <row r="1496" spans="1:7" x14ac:dyDescent="0.35">
      <c r="A1496" t="s">
        <v>50</v>
      </c>
      <c r="B1496" t="s">
        <v>51</v>
      </c>
      <c r="C1496" t="s">
        <v>52</v>
      </c>
      <c r="D1496" t="s">
        <v>63</v>
      </c>
    </row>
    <row r="1497" spans="1:7" x14ac:dyDescent="0.35">
      <c r="A1497" t="s">
        <v>1</v>
      </c>
    </row>
    <row r="1498" spans="1:7" x14ac:dyDescent="0.35">
      <c r="A1498" t="s">
        <v>18</v>
      </c>
      <c r="B1498" t="s">
        <v>130</v>
      </c>
    </row>
    <row r="1499" spans="1:7" x14ac:dyDescent="0.35">
      <c r="A1499" t="s">
        <v>138</v>
      </c>
      <c r="B1499" t="s">
        <v>191</v>
      </c>
      <c r="C1499" t="s">
        <v>139</v>
      </c>
      <c r="D1499" t="s">
        <v>140</v>
      </c>
      <c r="E1499" t="s">
        <v>141</v>
      </c>
      <c r="F1499" t="s">
        <v>142</v>
      </c>
      <c r="G1499" t="s">
        <v>124</v>
      </c>
    </row>
    <row r="1500" spans="1:7" x14ac:dyDescent="0.35">
      <c r="A1500" t="s">
        <v>8</v>
      </c>
    </row>
    <row r="1501" spans="1:7" x14ac:dyDescent="0.35">
      <c r="A1501" t="s">
        <v>1</v>
      </c>
      <c r="B1501" t="s">
        <v>87</v>
      </c>
      <c r="C1501" t="s">
        <v>133</v>
      </c>
    </row>
    <row r="1502" spans="1:7" x14ac:dyDescent="0.35">
      <c r="A1502" t="s">
        <v>93</v>
      </c>
      <c r="B1502" t="s">
        <v>50</v>
      </c>
      <c r="C1502" t="s">
        <v>51</v>
      </c>
      <c r="D1502" t="s">
        <v>52</v>
      </c>
      <c r="E1502" t="s">
        <v>94</v>
      </c>
      <c r="F1502" t="s">
        <v>77</v>
      </c>
      <c r="G1502" t="s">
        <v>95</v>
      </c>
    </row>
    <row r="1503" spans="1:7" x14ac:dyDescent="0.35">
      <c r="A1503" t="s">
        <v>8</v>
      </c>
    </row>
    <row r="1504" spans="1:7" x14ac:dyDescent="0.35">
      <c r="A1504" t="s">
        <v>30</v>
      </c>
    </row>
    <row r="1505" spans="1:6" x14ac:dyDescent="0.35">
      <c r="A1505" t="s">
        <v>12</v>
      </c>
    </row>
    <row r="1506" spans="1:6" x14ac:dyDescent="0.35">
      <c r="A1506" t="s">
        <v>1</v>
      </c>
      <c r="B1506" t="s">
        <v>87</v>
      </c>
      <c r="C1506" t="s">
        <v>192</v>
      </c>
    </row>
    <row r="1507" spans="1:6" x14ac:dyDescent="0.35">
      <c r="A1507" t="s">
        <v>12</v>
      </c>
    </row>
    <row r="1508" spans="1:6" x14ac:dyDescent="0.35">
      <c r="A1508" t="s">
        <v>96</v>
      </c>
      <c r="B1508" t="s">
        <v>18</v>
      </c>
    </row>
    <row r="1509" spans="1:6" x14ac:dyDescent="0.35">
      <c r="A1509" t="s">
        <v>18</v>
      </c>
    </row>
    <row r="1510" spans="1:6" x14ac:dyDescent="0.35">
      <c r="A1510" t="s">
        <v>50</v>
      </c>
      <c r="B1510" t="s">
        <v>51</v>
      </c>
      <c r="C1510" t="s">
        <v>52</v>
      </c>
    </row>
    <row r="1511" spans="1:6" x14ac:dyDescent="0.35">
      <c r="A1511" t="s">
        <v>18</v>
      </c>
    </row>
    <row r="1512" spans="1:6" x14ac:dyDescent="0.35">
      <c r="A1512" t="s">
        <v>10</v>
      </c>
    </row>
    <row r="1513" spans="1:6" x14ac:dyDescent="0.35">
      <c r="A1513" t="s">
        <v>50</v>
      </c>
      <c r="B1513" t="s">
        <v>51</v>
      </c>
      <c r="C1513" t="s">
        <v>52</v>
      </c>
      <c r="D1513" t="s">
        <v>63</v>
      </c>
    </row>
    <row r="1514" spans="1:6" x14ac:dyDescent="0.35">
      <c r="A1514" t="s">
        <v>64</v>
      </c>
      <c r="B1514" t="s">
        <v>65</v>
      </c>
      <c r="C1514" t="s">
        <v>66</v>
      </c>
      <c r="D1514" t="s">
        <v>18</v>
      </c>
      <c r="E1514" t="s">
        <v>67</v>
      </c>
      <c r="F1514" t="s">
        <v>68</v>
      </c>
    </row>
    <row r="1515" spans="1:6" x14ac:dyDescent="0.35">
      <c r="A1515" t="s">
        <v>126</v>
      </c>
      <c r="B1515" t="s">
        <v>127</v>
      </c>
    </row>
    <row r="1516" spans="1:6" x14ac:dyDescent="0.35">
      <c r="A1516" t="s">
        <v>50</v>
      </c>
      <c r="B1516" t="s">
        <v>51</v>
      </c>
      <c r="C1516" t="s">
        <v>52</v>
      </c>
    </row>
    <row r="1517" spans="1:6" x14ac:dyDescent="0.35">
      <c r="A1517" t="s">
        <v>50</v>
      </c>
      <c r="B1517" t="s">
        <v>51</v>
      </c>
      <c r="C1517" t="s">
        <v>52</v>
      </c>
      <c r="D1517" t="s">
        <v>63</v>
      </c>
    </row>
    <row r="1518" spans="1:6" x14ac:dyDescent="0.35">
      <c r="A1518" t="s">
        <v>12</v>
      </c>
    </row>
    <row r="1519" spans="1:6" x14ac:dyDescent="0.35">
      <c r="A1519" t="s">
        <v>12</v>
      </c>
    </row>
    <row r="1520" spans="1:6" x14ac:dyDescent="0.35">
      <c r="A1520" t="s">
        <v>20</v>
      </c>
    </row>
    <row r="1521" spans="1:7" x14ac:dyDescent="0.35">
      <c r="A1521" t="s">
        <v>50</v>
      </c>
      <c r="B1521" t="s">
        <v>51</v>
      </c>
      <c r="C1521" t="s">
        <v>52</v>
      </c>
    </row>
    <row r="1522" spans="1:7" x14ac:dyDescent="0.35">
      <c r="A1522" t="s">
        <v>5</v>
      </c>
    </row>
    <row r="1523" spans="1:7" x14ac:dyDescent="0.35">
      <c r="A1523" t="s">
        <v>3</v>
      </c>
    </row>
    <row r="1524" spans="1:7" x14ac:dyDescent="0.35">
      <c r="A1524" t="s">
        <v>100</v>
      </c>
      <c r="B1524" t="s">
        <v>101</v>
      </c>
      <c r="C1524" t="s">
        <v>102</v>
      </c>
    </row>
    <row r="1525" spans="1:7" x14ac:dyDescent="0.35">
      <c r="A1525" t="s">
        <v>93</v>
      </c>
      <c r="B1525" t="s">
        <v>50</v>
      </c>
      <c r="C1525" t="s">
        <v>51</v>
      </c>
      <c r="D1525" t="s">
        <v>52</v>
      </c>
      <c r="E1525" t="s">
        <v>94</v>
      </c>
      <c r="F1525" t="s">
        <v>77</v>
      </c>
      <c r="G1525" t="s">
        <v>95</v>
      </c>
    </row>
    <row r="1526" spans="1:7" x14ac:dyDescent="0.35">
      <c r="A1526" t="s">
        <v>50</v>
      </c>
      <c r="B1526" t="s">
        <v>51</v>
      </c>
      <c r="C1526" t="s">
        <v>52</v>
      </c>
      <c r="D1526" t="s">
        <v>63</v>
      </c>
    </row>
    <row r="1527" spans="1:7" x14ac:dyDescent="0.35">
      <c r="A1527" t="s">
        <v>1</v>
      </c>
    </row>
    <row r="1528" spans="1:7" x14ac:dyDescent="0.35">
      <c r="A1528" t="s">
        <v>50</v>
      </c>
      <c r="B1528" t="s">
        <v>51</v>
      </c>
      <c r="C1528" t="s">
        <v>52</v>
      </c>
      <c r="D1528" t="s">
        <v>61</v>
      </c>
    </row>
    <row r="1529" spans="1:7" x14ac:dyDescent="0.35">
      <c r="A1529" t="s">
        <v>7</v>
      </c>
    </row>
    <row r="1530" spans="1:7" x14ac:dyDescent="0.35">
      <c r="A1530" t="s">
        <v>10</v>
      </c>
    </row>
    <row r="1531" spans="1:7" x14ac:dyDescent="0.35">
      <c r="A1531" t="s">
        <v>1</v>
      </c>
    </row>
    <row r="1532" spans="1:7" x14ac:dyDescent="0.35">
      <c r="A1532" t="s">
        <v>50</v>
      </c>
      <c r="B1532" t="s">
        <v>51</v>
      </c>
      <c r="C1532" t="s">
        <v>52</v>
      </c>
      <c r="D1532" t="s">
        <v>61</v>
      </c>
    </row>
    <row r="1533" spans="1:7" x14ac:dyDescent="0.35">
      <c r="A1533" t="s">
        <v>9</v>
      </c>
    </row>
    <row r="1534" spans="1:7" x14ac:dyDescent="0.35">
      <c r="A1534" t="s">
        <v>18</v>
      </c>
      <c r="B1534" t="s">
        <v>160</v>
      </c>
    </row>
    <row r="1535" spans="1:7" x14ac:dyDescent="0.35">
      <c r="A1535" t="s">
        <v>50</v>
      </c>
      <c r="B1535" t="s">
        <v>51</v>
      </c>
      <c r="C1535" t="s">
        <v>52</v>
      </c>
      <c r="D1535" t="s">
        <v>98</v>
      </c>
    </row>
    <row r="1536" spans="1:7" x14ac:dyDescent="0.35">
      <c r="A1536" t="s">
        <v>165</v>
      </c>
      <c r="B1536" t="s">
        <v>1</v>
      </c>
    </row>
    <row r="1537" spans="1:6" x14ac:dyDescent="0.35">
      <c r="A1537" t="s">
        <v>7</v>
      </c>
    </row>
    <row r="1538" spans="1:6" x14ac:dyDescent="0.35">
      <c r="A1538" t="s">
        <v>50</v>
      </c>
      <c r="B1538" t="s">
        <v>51</v>
      </c>
      <c r="C1538" t="s">
        <v>52</v>
      </c>
    </row>
    <row r="1539" spans="1:6" x14ac:dyDescent="0.35">
      <c r="A1539" t="s">
        <v>193</v>
      </c>
      <c r="B1539" t="s">
        <v>1</v>
      </c>
      <c r="C1539" t="s">
        <v>87</v>
      </c>
      <c r="D1539" t="s">
        <v>194</v>
      </c>
    </row>
    <row r="1540" spans="1:6" x14ac:dyDescent="0.35">
      <c r="A1540" t="s">
        <v>12</v>
      </c>
    </row>
    <row r="1541" spans="1:6" x14ac:dyDescent="0.35">
      <c r="A1541" t="s">
        <v>166</v>
      </c>
      <c r="B1541" t="s">
        <v>167</v>
      </c>
      <c r="C1541" t="s">
        <v>168</v>
      </c>
      <c r="D1541" t="s">
        <v>169</v>
      </c>
    </row>
    <row r="1542" spans="1:6" x14ac:dyDescent="0.35">
      <c r="A1542" t="s">
        <v>50</v>
      </c>
      <c r="B1542" t="s">
        <v>51</v>
      </c>
      <c r="C1542" t="s">
        <v>52</v>
      </c>
      <c r="D1542" t="s">
        <v>60</v>
      </c>
      <c r="E1542" t="s">
        <v>61</v>
      </c>
    </row>
    <row r="1543" spans="1:6" x14ac:dyDescent="0.35">
      <c r="A1543" t="s">
        <v>96</v>
      </c>
      <c r="B1543" t="s">
        <v>18</v>
      </c>
    </row>
    <row r="1544" spans="1:6" x14ac:dyDescent="0.35">
      <c r="A1544" t="s">
        <v>21</v>
      </c>
    </row>
    <row r="1545" spans="1:6" x14ac:dyDescent="0.35">
      <c r="A1545" t="s">
        <v>7</v>
      </c>
    </row>
    <row r="1546" spans="1:6" x14ac:dyDescent="0.35">
      <c r="A1546" t="s">
        <v>6</v>
      </c>
    </row>
    <row r="1547" spans="1:6" x14ac:dyDescent="0.35">
      <c r="A1547" t="s">
        <v>56</v>
      </c>
      <c r="B1547" t="s">
        <v>57</v>
      </c>
    </row>
    <row r="1548" spans="1:6" x14ac:dyDescent="0.35">
      <c r="A1548" t="s">
        <v>5</v>
      </c>
    </row>
    <row r="1549" spans="1:6" x14ac:dyDescent="0.35">
      <c r="A1549" t="s">
        <v>10</v>
      </c>
    </row>
    <row r="1550" spans="1:6" x14ac:dyDescent="0.35">
      <c r="A1550" t="s">
        <v>50</v>
      </c>
      <c r="B1550" t="s">
        <v>51</v>
      </c>
      <c r="C1550" t="s">
        <v>52</v>
      </c>
      <c r="D1550" t="s">
        <v>60</v>
      </c>
      <c r="E1550" t="s">
        <v>118</v>
      </c>
      <c r="F1550" t="s">
        <v>61</v>
      </c>
    </row>
    <row r="1551" spans="1:6" x14ac:dyDescent="0.35">
      <c r="A1551" t="s">
        <v>1</v>
      </c>
    </row>
    <row r="1552" spans="1:6" x14ac:dyDescent="0.35">
      <c r="A1552" t="s">
        <v>96</v>
      </c>
      <c r="B1552" t="s">
        <v>18</v>
      </c>
    </row>
    <row r="1553" spans="1:7" x14ac:dyDescent="0.35">
      <c r="A1553" t="s">
        <v>100</v>
      </c>
      <c r="B1553" t="s">
        <v>101</v>
      </c>
      <c r="C1553" t="s">
        <v>102</v>
      </c>
    </row>
    <row r="1554" spans="1:7" x14ac:dyDescent="0.35">
      <c r="A1554" t="s">
        <v>7</v>
      </c>
    </row>
    <row r="1555" spans="1:7" x14ac:dyDescent="0.35">
      <c r="A1555" t="s">
        <v>50</v>
      </c>
      <c r="B1555" t="s">
        <v>51</v>
      </c>
      <c r="C1555" t="s">
        <v>52</v>
      </c>
    </row>
    <row r="1556" spans="1:7" x14ac:dyDescent="0.35">
      <c r="A1556" t="s">
        <v>12</v>
      </c>
      <c r="B1556" t="s">
        <v>177</v>
      </c>
    </row>
    <row r="1557" spans="1:7" x14ac:dyDescent="0.35">
      <c r="A1557" t="s">
        <v>64</v>
      </c>
      <c r="B1557" t="s">
        <v>65</v>
      </c>
      <c r="C1557" t="s">
        <v>66</v>
      </c>
      <c r="D1557" t="s">
        <v>18</v>
      </c>
      <c r="E1557" t="s">
        <v>129</v>
      </c>
      <c r="F1557" t="s">
        <v>67</v>
      </c>
      <c r="G1557" t="s">
        <v>68</v>
      </c>
    </row>
    <row r="1558" spans="1:7" x14ac:dyDescent="0.35">
      <c r="A1558" t="s">
        <v>64</v>
      </c>
      <c r="B1558" t="s">
        <v>65</v>
      </c>
      <c r="C1558" t="s">
        <v>66</v>
      </c>
      <c r="D1558" t="s">
        <v>18</v>
      </c>
      <c r="E1558" t="s">
        <v>67</v>
      </c>
      <c r="F1558" t="s">
        <v>68</v>
      </c>
    </row>
    <row r="1559" spans="1:7" x14ac:dyDescent="0.35">
      <c r="A1559" t="s">
        <v>6</v>
      </c>
    </row>
    <row r="1560" spans="1:7" x14ac:dyDescent="0.35">
      <c r="A1560" t="s">
        <v>115</v>
      </c>
      <c r="B1560" t="s">
        <v>11</v>
      </c>
    </row>
    <row r="1561" spans="1:7" x14ac:dyDescent="0.35">
      <c r="A1561" t="s">
        <v>81</v>
      </c>
      <c r="B1561" t="s">
        <v>11</v>
      </c>
    </row>
    <row r="1562" spans="1:7" x14ac:dyDescent="0.35">
      <c r="A1562" t="s">
        <v>3</v>
      </c>
    </row>
    <row r="1563" spans="1:7" x14ac:dyDescent="0.35">
      <c r="A1563" t="s">
        <v>3</v>
      </c>
    </row>
    <row r="1564" spans="1:7" x14ac:dyDescent="0.35">
      <c r="A1564" t="s">
        <v>155</v>
      </c>
      <c r="B1564" t="s">
        <v>156</v>
      </c>
      <c r="C1564" t="s">
        <v>157</v>
      </c>
    </row>
    <row r="1565" spans="1:7" x14ac:dyDescent="0.35">
      <c r="A1565" t="s">
        <v>96</v>
      </c>
      <c r="B1565" t="s">
        <v>18</v>
      </c>
    </row>
    <row r="1566" spans="1:7" x14ac:dyDescent="0.35">
      <c r="A1566" t="s">
        <v>50</v>
      </c>
      <c r="B1566" t="s">
        <v>51</v>
      </c>
      <c r="C1566" t="s">
        <v>52</v>
      </c>
      <c r="D1566" t="s">
        <v>72</v>
      </c>
      <c r="E1566" t="s">
        <v>73</v>
      </c>
    </row>
    <row r="1567" spans="1:7" x14ac:dyDescent="0.35">
      <c r="A1567" t="s">
        <v>93</v>
      </c>
      <c r="B1567" t="s">
        <v>50</v>
      </c>
      <c r="C1567" t="s">
        <v>51</v>
      </c>
      <c r="D1567" t="s">
        <v>52</v>
      </c>
      <c r="E1567" t="s">
        <v>94</v>
      </c>
      <c r="F1567" t="s">
        <v>77</v>
      </c>
      <c r="G1567" t="s">
        <v>95</v>
      </c>
    </row>
    <row r="1568" spans="1:7" x14ac:dyDescent="0.35">
      <c r="A1568" t="s">
        <v>108</v>
      </c>
      <c r="B1568" t="s">
        <v>11</v>
      </c>
    </row>
    <row r="1569" spans="1:6" x14ac:dyDescent="0.35">
      <c r="A1569" t="s">
        <v>195</v>
      </c>
      <c r="B1569" t="s">
        <v>1</v>
      </c>
    </row>
    <row r="1570" spans="1:6" x14ac:dyDescent="0.35">
      <c r="A1570" t="s">
        <v>50</v>
      </c>
      <c r="B1570" t="s">
        <v>51</v>
      </c>
      <c r="C1570" t="s">
        <v>52</v>
      </c>
      <c r="D1570" t="s">
        <v>63</v>
      </c>
    </row>
    <row r="1571" spans="1:6" x14ac:dyDescent="0.35">
      <c r="A1571" t="s">
        <v>18</v>
      </c>
    </row>
    <row r="1572" spans="1:6" x14ac:dyDescent="0.35">
      <c r="A1572" t="s">
        <v>56</v>
      </c>
      <c r="B1572" t="s">
        <v>57</v>
      </c>
    </row>
    <row r="1573" spans="1:6" x14ac:dyDescent="0.35">
      <c r="A1573" t="s">
        <v>11</v>
      </c>
    </row>
    <row r="1574" spans="1:6" x14ac:dyDescent="0.35">
      <c r="A1574" t="s">
        <v>64</v>
      </c>
      <c r="B1574" t="s">
        <v>65</v>
      </c>
      <c r="C1574" t="s">
        <v>66</v>
      </c>
      <c r="D1574" t="s">
        <v>18</v>
      </c>
      <c r="E1574" t="s">
        <v>67</v>
      </c>
      <c r="F1574" t="s">
        <v>68</v>
      </c>
    </row>
    <row r="1575" spans="1:6" x14ac:dyDescent="0.35">
      <c r="A1575" t="s">
        <v>4</v>
      </c>
    </row>
    <row r="1576" spans="1:6" x14ac:dyDescent="0.35">
      <c r="A1576" t="s">
        <v>56</v>
      </c>
      <c r="B1576" t="s">
        <v>57</v>
      </c>
    </row>
    <row r="1577" spans="1:6" x14ac:dyDescent="0.35">
      <c r="A1577" t="s">
        <v>1</v>
      </c>
    </row>
    <row r="1578" spans="1:6" x14ac:dyDescent="0.35">
      <c r="A1578" t="s">
        <v>10</v>
      </c>
    </row>
    <row r="1579" spans="1:6" x14ac:dyDescent="0.35">
      <c r="A1579" t="s">
        <v>50</v>
      </c>
      <c r="B1579" t="s">
        <v>51</v>
      </c>
      <c r="C1579" t="s">
        <v>52</v>
      </c>
    </row>
    <row r="1580" spans="1:6" x14ac:dyDescent="0.35">
      <c r="A1580" t="s">
        <v>96</v>
      </c>
      <c r="B1580" t="s">
        <v>66</v>
      </c>
      <c r="C1580" t="s">
        <v>18</v>
      </c>
      <c r="D1580" t="s">
        <v>67</v>
      </c>
      <c r="E1580" t="s">
        <v>68</v>
      </c>
    </row>
    <row r="1581" spans="1:6" x14ac:dyDescent="0.35">
      <c r="A1581" t="s">
        <v>50</v>
      </c>
      <c r="B1581" t="s">
        <v>51</v>
      </c>
      <c r="C1581" t="s">
        <v>52</v>
      </c>
      <c r="D1581" t="s">
        <v>92</v>
      </c>
    </row>
    <row r="1582" spans="1:6" x14ac:dyDescent="0.35">
      <c r="A1582" t="s">
        <v>1</v>
      </c>
    </row>
    <row r="1583" spans="1:6" x14ac:dyDescent="0.35">
      <c r="A1583" t="s">
        <v>64</v>
      </c>
      <c r="B1583" t="s">
        <v>65</v>
      </c>
      <c r="C1583" t="s">
        <v>66</v>
      </c>
      <c r="D1583" t="s">
        <v>18</v>
      </c>
      <c r="E1583" t="s">
        <v>67</v>
      </c>
      <c r="F1583" t="s">
        <v>68</v>
      </c>
    </row>
    <row r="1584" spans="1:6" x14ac:dyDescent="0.35">
      <c r="A1584" t="s">
        <v>12</v>
      </c>
    </row>
    <row r="1585" spans="1:6" x14ac:dyDescent="0.35">
      <c r="A1585" t="s">
        <v>96</v>
      </c>
      <c r="B1585" t="s">
        <v>18</v>
      </c>
    </row>
    <row r="1586" spans="1:6" x14ac:dyDescent="0.35">
      <c r="A1586" t="s">
        <v>1</v>
      </c>
      <c r="B1586" t="s">
        <v>196</v>
      </c>
    </row>
    <row r="1587" spans="1:6" x14ac:dyDescent="0.35">
      <c r="A1587" t="s">
        <v>96</v>
      </c>
      <c r="B1587" t="s">
        <v>18</v>
      </c>
    </row>
    <row r="1588" spans="1:6" x14ac:dyDescent="0.35">
      <c r="A1588" t="s">
        <v>3</v>
      </c>
    </row>
    <row r="1589" spans="1:6" x14ac:dyDescent="0.35">
      <c r="A1589" t="s">
        <v>151</v>
      </c>
      <c r="B1589" t="s">
        <v>152</v>
      </c>
      <c r="C1589" t="s">
        <v>153</v>
      </c>
    </row>
    <row r="1590" spans="1:6" x14ac:dyDescent="0.35">
      <c r="A1590" t="s">
        <v>159</v>
      </c>
      <c r="B1590" t="s">
        <v>11</v>
      </c>
    </row>
    <row r="1591" spans="1:6" x14ac:dyDescent="0.35">
      <c r="A1591" t="s">
        <v>93</v>
      </c>
      <c r="B1591" t="s">
        <v>50</v>
      </c>
      <c r="C1591" t="s">
        <v>51</v>
      </c>
      <c r="D1591" t="s">
        <v>52</v>
      </c>
    </row>
    <row r="1592" spans="1:6" x14ac:dyDescent="0.35">
      <c r="A1592" t="s">
        <v>56</v>
      </c>
      <c r="B1592" t="s">
        <v>57</v>
      </c>
    </row>
    <row r="1593" spans="1:6" x14ac:dyDescent="0.35">
      <c r="A1593" t="s">
        <v>1</v>
      </c>
      <c r="B1593" t="s">
        <v>87</v>
      </c>
      <c r="C1593" t="s">
        <v>170</v>
      </c>
    </row>
    <row r="1594" spans="1:6" x14ac:dyDescent="0.35">
      <c r="A1594" t="s">
        <v>7</v>
      </c>
    </row>
    <row r="1595" spans="1:6" x14ac:dyDescent="0.35">
      <c r="A1595" t="s">
        <v>64</v>
      </c>
      <c r="B1595" t="s">
        <v>66</v>
      </c>
      <c r="C1595" t="s">
        <v>18</v>
      </c>
      <c r="D1595" t="s">
        <v>67</v>
      </c>
      <c r="E1595" t="s">
        <v>68</v>
      </c>
    </row>
    <row r="1596" spans="1:6" x14ac:dyDescent="0.35">
      <c r="A1596" t="s">
        <v>64</v>
      </c>
      <c r="B1596" t="s">
        <v>65</v>
      </c>
      <c r="C1596" t="s">
        <v>66</v>
      </c>
      <c r="D1596" t="s">
        <v>18</v>
      </c>
      <c r="E1596" t="s">
        <v>67</v>
      </c>
      <c r="F1596" t="s">
        <v>68</v>
      </c>
    </row>
    <row r="1597" spans="1:6" x14ac:dyDescent="0.35">
      <c r="A1597" t="s">
        <v>64</v>
      </c>
      <c r="B1597" t="s">
        <v>65</v>
      </c>
      <c r="C1597" t="s">
        <v>66</v>
      </c>
      <c r="D1597" t="s">
        <v>18</v>
      </c>
      <c r="E1597" t="s">
        <v>67</v>
      </c>
      <c r="F1597" t="s">
        <v>68</v>
      </c>
    </row>
    <row r="1598" spans="1:6" x14ac:dyDescent="0.35">
      <c r="A1598" t="s">
        <v>9</v>
      </c>
    </row>
    <row r="1599" spans="1:6" x14ac:dyDescent="0.35">
      <c r="A1599" t="s">
        <v>81</v>
      </c>
      <c r="B1599" t="s">
        <v>11</v>
      </c>
    </row>
    <row r="1600" spans="1:6" x14ac:dyDescent="0.35">
      <c r="A1600" t="s">
        <v>50</v>
      </c>
      <c r="B1600" t="s">
        <v>51</v>
      </c>
      <c r="C1600" t="s">
        <v>52</v>
      </c>
      <c r="D1600" t="s">
        <v>63</v>
      </c>
    </row>
    <row r="1601" spans="1:5" x14ac:dyDescent="0.35">
      <c r="A1601" t="s">
        <v>12</v>
      </c>
    </row>
    <row r="1602" spans="1:5" x14ac:dyDescent="0.35">
      <c r="A1602" t="s">
        <v>64</v>
      </c>
      <c r="B1602" t="s">
        <v>66</v>
      </c>
      <c r="C1602" t="s">
        <v>18</v>
      </c>
      <c r="D1602" t="s">
        <v>67</v>
      </c>
      <c r="E1602" t="s">
        <v>68</v>
      </c>
    </row>
    <row r="1603" spans="1:5" x14ac:dyDescent="0.35">
      <c r="A1603" t="s">
        <v>18</v>
      </c>
      <c r="B1603" t="s">
        <v>130</v>
      </c>
    </row>
    <row r="1604" spans="1:5" x14ac:dyDescent="0.35">
      <c r="A1604" t="s">
        <v>162</v>
      </c>
      <c r="B1604" t="s">
        <v>124</v>
      </c>
    </row>
    <row r="1605" spans="1:5" x14ac:dyDescent="0.35">
      <c r="A1605" t="s">
        <v>50</v>
      </c>
      <c r="B1605" t="s">
        <v>51</v>
      </c>
      <c r="C1605" t="s">
        <v>52</v>
      </c>
      <c r="D1605" t="s">
        <v>63</v>
      </c>
    </row>
    <row r="1606" spans="1:5" x14ac:dyDescent="0.35">
      <c r="A1606" t="s">
        <v>12</v>
      </c>
    </row>
    <row r="1607" spans="1:5" x14ac:dyDescent="0.35">
      <c r="A1607" t="s">
        <v>66</v>
      </c>
      <c r="B1607" t="s">
        <v>67</v>
      </c>
      <c r="C1607" t="s">
        <v>68</v>
      </c>
    </row>
    <row r="1608" spans="1:5" x14ac:dyDescent="0.35">
      <c r="A1608" t="s">
        <v>24</v>
      </c>
    </row>
    <row r="1609" spans="1:5" x14ac:dyDescent="0.35">
      <c r="A1609" t="s">
        <v>81</v>
      </c>
      <c r="B1609" t="s">
        <v>11</v>
      </c>
    </row>
    <row r="1610" spans="1:5" x14ac:dyDescent="0.35">
      <c r="A1610" t="s">
        <v>18</v>
      </c>
      <c r="B1610" t="s">
        <v>130</v>
      </c>
    </row>
    <row r="1611" spans="1:5" x14ac:dyDescent="0.35">
      <c r="A1611" t="s">
        <v>12</v>
      </c>
    </row>
    <row r="1612" spans="1:5" x14ac:dyDescent="0.35">
      <c r="A1612" t="s">
        <v>8</v>
      </c>
    </row>
    <row r="1613" spans="1:5" x14ac:dyDescent="0.35">
      <c r="A1613" t="s">
        <v>12</v>
      </c>
    </row>
    <row r="1614" spans="1:5" x14ac:dyDescent="0.35">
      <c r="A1614" t="s">
        <v>96</v>
      </c>
      <c r="B1614" t="s">
        <v>18</v>
      </c>
    </row>
    <row r="1615" spans="1:5" x14ac:dyDescent="0.35">
      <c r="A1615" t="s">
        <v>96</v>
      </c>
      <c r="B1615" t="s">
        <v>18</v>
      </c>
    </row>
    <row r="1616" spans="1:5" x14ac:dyDescent="0.35">
      <c r="A1616" t="s">
        <v>56</v>
      </c>
      <c r="B1616" t="s">
        <v>57</v>
      </c>
    </row>
    <row r="1617" spans="1:7" x14ac:dyDescent="0.35">
      <c r="A1617" t="s">
        <v>9</v>
      </c>
    </row>
    <row r="1618" spans="1:7" x14ac:dyDescent="0.35">
      <c r="A1618" t="s">
        <v>96</v>
      </c>
      <c r="B1618" t="s">
        <v>18</v>
      </c>
    </row>
    <row r="1619" spans="1:7" x14ac:dyDescent="0.35">
      <c r="A1619" t="s">
        <v>50</v>
      </c>
      <c r="B1619" t="s">
        <v>51</v>
      </c>
      <c r="C1619" t="s">
        <v>52</v>
      </c>
      <c r="D1619" t="s">
        <v>72</v>
      </c>
      <c r="E1619" t="s">
        <v>73</v>
      </c>
      <c r="F1619" t="s">
        <v>113</v>
      </c>
    </row>
    <row r="1620" spans="1:7" x14ac:dyDescent="0.35">
      <c r="A1620" t="s">
        <v>14</v>
      </c>
    </row>
    <row r="1621" spans="1:7" x14ac:dyDescent="0.35">
      <c r="A1621" t="s">
        <v>50</v>
      </c>
      <c r="B1621" t="s">
        <v>51</v>
      </c>
      <c r="C1621" t="s">
        <v>52</v>
      </c>
      <c r="D1621" t="s">
        <v>63</v>
      </c>
    </row>
    <row r="1622" spans="1:7" x14ac:dyDescent="0.35">
      <c r="A1622" t="s">
        <v>108</v>
      </c>
      <c r="B1622" t="s">
        <v>11</v>
      </c>
    </row>
    <row r="1623" spans="1:7" x14ac:dyDescent="0.35">
      <c r="A1623" t="s">
        <v>5</v>
      </c>
    </row>
    <row r="1624" spans="1:7" x14ac:dyDescent="0.35">
      <c r="A1624" t="s">
        <v>3</v>
      </c>
    </row>
    <row r="1625" spans="1:7" x14ac:dyDescent="0.35">
      <c r="A1625" t="s">
        <v>50</v>
      </c>
      <c r="B1625" t="s">
        <v>51</v>
      </c>
      <c r="C1625" t="s">
        <v>52</v>
      </c>
      <c r="D1625" t="s">
        <v>60</v>
      </c>
      <c r="E1625" t="s">
        <v>118</v>
      </c>
      <c r="F1625" t="s">
        <v>61</v>
      </c>
    </row>
    <row r="1626" spans="1:7" x14ac:dyDescent="0.35">
      <c r="A1626" t="s">
        <v>50</v>
      </c>
      <c r="B1626" t="s">
        <v>51</v>
      </c>
      <c r="C1626" t="s">
        <v>52</v>
      </c>
      <c r="D1626" t="s">
        <v>63</v>
      </c>
    </row>
    <row r="1627" spans="1:7" x14ac:dyDescent="0.35">
      <c r="A1627" t="s">
        <v>18</v>
      </c>
    </row>
    <row r="1628" spans="1:7" x14ac:dyDescent="0.35">
      <c r="A1628" t="s">
        <v>108</v>
      </c>
      <c r="B1628" t="s">
        <v>11</v>
      </c>
    </row>
    <row r="1629" spans="1:7" x14ac:dyDescent="0.35">
      <c r="A1629" t="s">
        <v>10</v>
      </c>
    </row>
    <row r="1630" spans="1:7" x14ac:dyDescent="0.35">
      <c r="A1630" t="s">
        <v>138</v>
      </c>
      <c r="B1630" t="s">
        <v>197</v>
      </c>
      <c r="C1630" t="s">
        <v>139</v>
      </c>
      <c r="D1630" t="s">
        <v>140</v>
      </c>
      <c r="E1630" t="s">
        <v>141</v>
      </c>
      <c r="F1630" t="s">
        <v>142</v>
      </c>
      <c r="G1630" t="s">
        <v>124</v>
      </c>
    </row>
    <row r="1631" spans="1:7" x14ac:dyDescent="0.35">
      <c r="A1631" t="s">
        <v>159</v>
      </c>
      <c r="B1631" t="s">
        <v>11</v>
      </c>
    </row>
    <row r="1632" spans="1:7" x14ac:dyDescent="0.35">
      <c r="A1632" t="s">
        <v>56</v>
      </c>
      <c r="B1632" t="s">
        <v>57</v>
      </c>
    </row>
    <row r="1633" spans="1:6" x14ac:dyDescent="0.35">
      <c r="A1633" t="s">
        <v>56</v>
      </c>
      <c r="B1633" t="s">
        <v>57</v>
      </c>
    </row>
    <row r="1634" spans="1:6" x14ac:dyDescent="0.35">
      <c r="A1634" t="s">
        <v>18</v>
      </c>
      <c r="B1634" t="s">
        <v>160</v>
      </c>
    </row>
    <row r="1635" spans="1:6" x14ac:dyDescent="0.35">
      <c r="A1635" t="s">
        <v>41</v>
      </c>
      <c r="B1635" t="s">
        <v>167</v>
      </c>
    </row>
    <row r="1636" spans="1:6" x14ac:dyDescent="0.35">
      <c r="A1636" t="s">
        <v>100</v>
      </c>
      <c r="B1636" t="s">
        <v>101</v>
      </c>
      <c r="C1636" t="s">
        <v>102</v>
      </c>
    </row>
    <row r="1637" spans="1:6" x14ac:dyDescent="0.35">
      <c r="A1637" t="s">
        <v>3</v>
      </c>
      <c r="B1637" t="s">
        <v>117</v>
      </c>
    </row>
    <row r="1638" spans="1:6" x14ac:dyDescent="0.35">
      <c r="A1638" t="s">
        <v>8</v>
      </c>
    </row>
    <row r="1639" spans="1:6" x14ac:dyDescent="0.35">
      <c r="A1639" t="s">
        <v>1</v>
      </c>
    </row>
    <row r="1640" spans="1:6" x14ac:dyDescent="0.35">
      <c r="A1640" t="s">
        <v>50</v>
      </c>
      <c r="B1640" t="s">
        <v>51</v>
      </c>
      <c r="C1640" t="s">
        <v>52</v>
      </c>
      <c r="D1640" t="s">
        <v>60</v>
      </c>
      <c r="E1640" t="s">
        <v>103</v>
      </c>
      <c r="F1640" t="s">
        <v>61</v>
      </c>
    </row>
    <row r="1641" spans="1:6" x14ac:dyDescent="0.35">
      <c r="A1641" t="s">
        <v>64</v>
      </c>
      <c r="B1641" t="s">
        <v>18</v>
      </c>
    </row>
    <row r="1642" spans="1:6" x14ac:dyDescent="0.35">
      <c r="A1642" t="s">
        <v>23</v>
      </c>
    </row>
    <row r="1643" spans="1:6" x14ac:dyDescent="0.35">
      <c r="A1643" t="s">
        <v>18</v>
      </c>
      <c r="B1643" t="s">
        <v>130</v>
      </c>
    </row>
    <row r="1644" spans="1:6" x14ac:dyDescent="0.35">
      <c r="A1644" t="s">
        <v>1</v>
      </c>
      <c r="B1644" t="s">
        <v>87</v>
      </c>
      <c r="C1644" t="s">
        <v>170</v>
      </c>
    </row>
    <row r="1645" spans="1:6" x14ac:dyDescent="0.35">
      <c r="A1645" t="s">
        <v>45</v>
      </c>
      <c r="B1645" t="s">
        <v>198</v>
      </c>
    </row>
    <row r="1646" spans="1:6" x14ac:dyDescent="0.35">
      <c r="A1646" t="s">
        <v>151</v>
      </c>
      <c r="B1646" t="s">
        <v>152</v>
      </c>
      <c r="C1646" t="s">
        <v>153</v>
      </c>
    </row>
    <row r="1647" spans="1:6" x14ac:dyDescent="0.35">
      <c r="A1647" t="s">
        <v>12</v>
      </c>
    </row>
    <row r="1648" spans="1:6" x14ac:dyDescent="0.35">
      <c r="A1648" t="s">
        <v>96</v>
      </c>
      <c r="B1648" t="s">
        <v>176</v>
      </c>
      <c r="C1648" t="s">
        <v>66</v>
      </c>
      <c r="D1648" t="s">
        <v>18</v>
      </c>
      <c r="E1648" t="s">
        <v>67</v>
      </c>
      <c r="F1648" t="s">
        <v>68</v>
      </c>
    </row>
    <row r="1649" spans="1:6" x14ac:dyDescent="0.35">
      <c r="A1649" t="s">
        <v>56</v>
      </c>
      <c r="B1649" t="s">
        <v>57</v>
      </c>
    </row>
    <row r="1650" spans="1:6" x14ac:dyDescent="0.35">
      <c r="A1650" t="s">
        <v>100</v>
      </c>
      <c r="B1650" t="s">
        <v>101</v>
      </c>
      <c r="C1650" t="s">
        <v>102</v>
      </c>
    </row>
    <row r="1651" spans="1:6" x14ac:dyDescent="0.35">
      <c r="A1651" t="s">
        <v>15</v>
      </c>
    </row>
    <row r="1652" spans="1:6" x14ac:dyDescent="0.35">
      <c r="A1652" t="s">
        <v>50</v>
      </c>
      <c r="B1652" t="s">
        <v>51</v>
      </c>
      <c r="C1652" t="s">
        <v>52</v>
      </c>
      <c r="D1652" t="s">
        <v>61</v>
      </c>
    </row>
    <row r="1653" spans="1:6" x14ac:dyDescent="0.35">
      <c r="A1653" t="s">
        <v>7</v>
      </c>
    </row>
    <row r="1654" spans="1:6" x14ac:dyDescent="0.35">
      <c r="A1654" t="s">
        <v>10</v>
      </c>
    </row>
    <row r="1655" spans="1:6" x14ac:dyDescent="0.35">
      <c r="A1655" t="s">
        <v>56</v>
      </c>
      <c r="B1655" t="s">
        <v>57</v>
      </c>
    </row>
    <row r="1656" spans="1:6" x14ac:dyDescent="0.35">
      <c r="A1656" t="s">
        <v>56</v>
      </c>
      <c r="B1656" t="s">
        <v>57</v>
      </c>
    </row>
    <row r="1657" spans="1:6" x14ac:dyDescent="0.35">
      <c r="A1657" t="s">
        <v>174</v>
      </c>
      <c r="B1657" t="s">
        <v>189</v>
      </c>
      <c r="C1657" t="s">
        <v>151</v>
      </c>
      <c r="D1657" t="s">
        <v>152</v>
      </c>
      <c r="E1657" t="s">
        <v>153</v>
      </c>
    </row>
    <row r="1658" spans="1:6" x14ac:dyDescent="0.35">
      <c r="A1658" t="s">
        <v>1</v>
      </c>
    </row>
    <row r="1659" spans="1:6" x14ac:dyDescent="0.35">
      <c r="A1659" t="s">
        <v>7</v>
      </c>
    </row>
    <row r="1660" spans="1:6" x14ac:dyDescent="0.35">
      <c r="A1660" t="s">
        <v>2</v>
      </c>
    </row>
    <row r="1661" spans="1:6" x14ac:dyDescent="0.35">
      <c r="A1661" t="s">
        <v>18</v>
      </c>
    </row>
    <row r="1662" spans="1:6" x14ac:dyDescent="0.35">
      <c r="A1662" t="s">
        <v>30</v>
      </c>
    </row>
    <row r="1663" spans="1:6" x14ac:dyDescent="0.35">
      <c r="A1663" t="s">
        <v>64</v>
      </c>
      <c r="B1663" t="s">
        <v>65</v>
      </c>
      <c r="C1663" t="s">
        <v>66</v>
      </c>
      <c r="D1663" t="s">
        <v>18</v>
      </c>
      <c r="E1663" t="s">
        <v>67</v>
      </c>
      <c r="F1663" t="s">
        <v>68</v>
      </c>
    </row>
    <row r="1664" spans="1:6" x14ac:dyDescent="0.35">
      <c r="A1664" t="s">
        <v>126</v>
      </c>
      <c r="B1664" t="s">
        <v>127</v>
      </c>
    </row>
    <row r="1665" spans="1:7" x14ac:dyDescent="0.35">
      <c r="A1665" t="s">
        <v>5</v>
      </c>
    </row>
    <row r="1666" spans="1:7" x14ac:dyDescent="0.35">
      <c r="A1666" t="s">
        <v>18</v>
      </c>
    </row>
    <row r="1667" spans="1:7" x14ac:dyDescent="0.35">
      <c r="A1667" t="s">
        <v>7</v>
      </c>
    </row>
    <row r="1668" spans="1:7" x14ac:dyDescent="0.35">
      <c r="A1668" t="s">
        <v>12</v>
      </c>
    </row>
    <row r="1669" spans="1:7" x14ac:dyDescent="0.35">
      <c r="A1669" t="s">
        <v>11</v>
      </c>
    </row>
    <row r="1670" spans="1:7" x14ac:dyDescent="0.35">
      <c r="A1670" t="s">
        <v>124</v>
      </c>
      <c r="B1670" t="s">
        <v>125</v>
      </c>
    </row>
    <row r="1671" spans="1:7" x14ac:dyDescent="0.35">
      <c r="A1671" t="s">
        <v>14</v>
      </c>
    </row>
    <row r="1672" spans="1:7" x14ac:dyDescent="0.35">
      <c r="A1672" t="s">
        <v>56</v>
      </c>
      <c r="B1672" t="s">
        <v>57</v>
      </c>
      <c r="C1672" t="s">
        <v>171</v>
      </c>
      <c r="D1672" t="s">
        <v>172</v>
      </c>
      <c r="E1672" t="s">
        <v>173</v>
      </c>
    </row>
    <row r="1673" spans="1:7" x14ac:dyDescent="0.35">
      <c r="A1673" t="s">
        <v>1</v>
      </c>
      <c r="B1673" t="s">
        <v>87</v>
      </c>
      <c r="C1673" t="s">
        <v>188</v>
      </c>
    </row>
    <row r="1674" spans="1:7" x14ac:dyDescent="0.35">
      <c r="A1674" t="s">
        <v>50</v>
      </c>
      <c r="B1674" t="s">
        <v>51</v>
      </c>
      <c r="C1674" t="s">
        <v>52</v>
      </c>
    </row>
    <row r="1675" spans="1:7" x14ac:dyDescent="0.35">
      <c r="A1675" t="s">
        <v>81</v>
      </c>
      <c r="B1675" t="s">
        <v>11</v>
      </c>
    </row>
    <row r="1676" spans="1:7" x14ac:dyDescent="0.35">
      <c r="A1676" t="s">
        <v>7</v>
      </c>
    </row>
    <row r="1677" spans="1:7" x14ac:dyDescent="0.35">
      <c r="A1677" t="s">
        <v>50</v>
      </c>
      <c r="B1677" t="s">
        <v>51</v>
      </c>
      <c r="C1677" t="s">
        <v>52</v>
      </c>
      <c r="D1677" t="s">
        <v>72</v>
      </c>
      <c r="E1677" t="s">
        <v>73</v>
      </c>
      <c r="F1677" t="s">
        <v>113</v>
      </c>
    </row>
    <row r="1678" spans="1:7" x14ac:dyDescent="0.35">
      <c r="A1678" t="s">
        <v>93</v>
      </c>
      <c r="B1678" t="s">
        <v>50</v>
      </c>
      <c r="C1678" t="s">
        <v>51</v>
      </c>
      <c r="D1678" t="s">
        <v>52</v>
      </c>
      <c r="E1678" t="s">
        <v>94</v>
      </c>
      <c r="F1678" t="s">
        <v>77</v>
      </c>
      <c r="G1678" t="s">
        <v>95</v>
      </c>
    </row>
    <row r="1679" spans="1:7" x14ac:dyDescent="0.35">
      <c r="A1679" t="s">
        <v>50</v>
      </c>
      <c r="B1679" t="s">
        <v>51</v>
      </c>
      <c r="C1679" t="s">
        <v>52</v>
      </c>
      <c r="D1679" t="s">
        <v>92</v>
      </c>
    </row>
    <row r="1680" spans="1:7" x14ac:dyDescent="0.35">
      <c r="A1680" t="s">
        <v>12</v>
      </c>
    </row>
    <row r="1681" spans="1:9" x14ac:dyDescent="0.35">
      <c r="A1681" t="s">
        <v>138</v>
      </c>
      <c r="B1681" t="s">
        <v>139</v>
      </c>
      <c r="C1681" t="s">
        <v>140</v>
      </c>
      <c r="D1681" t="s">
        <v>141</v>
      </c>
      <c r="E1681" t="s">
        <v>142</v>
      </c>
      <c r="F1681" t="s">
        <v>124</v>
      </c>
      <c r="G1681" t="s">
        <v>143</v>
      </c>
      <c r="H1681" t="s">
        <v>199</v>
      </c>
      <c r="I1681" t="s">
        <v>145</v>
      </c>
    </row>
    <row r="1682" spans="1:9" x14ac:dyDescent="0.35">
      <c r="A1682" t="s">
        <v>7</v>
      </c>
    </row>
    <row r="1683" spans="1:9" x14ac:dyDescent="0.35">
      <c r="A1683" t="s">
        <v>50</v>
      </c>
      <c r="B1683" t="s">
        <v>51</v>
      </c>
      <c r="C1683" t="s">
        <v>52</v>
      </c>
      <c r="D1683" t="s">
        <v>63</v>
      </c>
    </row>
    <row r="1684" spans="1:9" x14ac:dyDescent="0.35">
      <c r="A1684" t="s">
        <v>8</v>
      </c>
    </row>
    <row r="1685" spans="1:9" x14ac:dyDescent="0.35">
      <c r="A1685" t="s">
        <v>18</v>
      </c>
      <c r="B1685" t="s">
        <v>130</v>
      </c>
    </row>
    <row r="1686" spans="1:9" x14ac:dyDescent="0.35">
      <c r="A1686" t="s">
        <v>18</v>
      </c>
      <c r="B1686" t="s">
        <v>160</v>
      </c>
    </row>
    <row r="1687" spans="1:9" x14ac:dyDescent="0.35">
      <c r="A1687" t="s">
        <v>93</v>
      </c>
      <c r="B1687" t="s">
        <v>50</v>
      </c>
      <c r="C1687" t="s">
        <v>51</v>
      </c>
      <c r="D1687" t="s">
        <v>52</v>
      </c>
      <c r="E1687" t="s">
        <v>94</v>
      </c>
      <c r="F1687" t="s">
        <v>77</v>
      </c>
      <c r="G1687" t="s">
        <v>95</v>
      </c>
    </row>
    <row r="1688" spans="1:9" x14ac:dyDescent="0.35">
      <c r="A1688" t="s">
        <v>8</v>
      </c>
    </row>
    <row r="1689" spans="1:9" x14ac:dyDescent="0.35">
      <c r="A1689" t="s">
        <v>1</v>
      </c>
    </row>
    <row r="1690" spans="1:9" x14ac:dyDescent="0.35">
      <c r="A1690" t="s">
        <v>50</v>
      </c>
      <c r="B1690" t="s">
        <v>51</v>
      </c>
      <c r="C1690" t="s">
        <v>52</v>
      </c>
    </row>
    <row r="1691" spans="1:9" x14ac:dyDescent="0.35">
      <c r="A1691" t="s">
        <v>50</v>
      </c>
      <c r="B1691" t="s">
        <v>51</v>
      </c>
      <c r="C1691" t="s">
        <v>52</v>
      </c>
    </row>
    <row r="1692" spans="1:9" x14ac:dyDescent="0.35">
      <c r="A1692" t="s">
        <v>96</v>
      </c>
      <c r="B1692" t="s">
        <v>18</v>
      </c>
    </row>
    <row r="1693" spans="1:9" x14ac:dyDescent="0.35">
      <c r="A1693" t="s">
        <v>81</v>
      </c>
      <c r="B1693" t="s">
        <v>11</v>
      </c>
    </row>
    <row r="1694" spans="1:9" x14ac:dyDescent="0.35">
      <c r="A1694" t="s">
        <v>96</v>
      </c>
      <c r="B1694" t="s">
        <v>18</v>
      </c>
    </row>
    <row r="1695" spans="1:9" x14ac:dyDescent="0.35">
      <c r="A1695" t="s">
        <v>50</v>
      </c>
      <c r="B1695" t="s">
        <v>51</v>
      </c>
      <c r="C1695" t="s">
        <v>52</v>
      </c>
      <c r="D1695" t="s">
        <v>63</v>
      </c>
    </row>
    <row r="1696" spans="1:9" x14ac:dyDescent="0.35">
      <c r="A1696" t="s">
        <v>18</v>
      </c>
      <c r="B1696" t="s">
        <v>130</v>
      </c>
    </row>
    <row r="1697" spans="1:7" x14ac:dyDescent="0.35">
      <c r="A1697" t="s">
        <v>96</v>
      </c>
      <c r="B1697" t="s">
        <v>18</v>
      </c>
    </row>
    <row r="1698" spans="1:7" x14ac:dyDescent="0.35">
      <c r="A1698" t="s">
        <v>96</v>
      </c>
      <c r="B1698" t="s">
        <v>200</v>
      </c>
      <c r="C1698" t="s">
        <v>18</v>
      </c>
    </row>
    <row r="1699" spans="1:7" x14ac:dyDescent="0.35">
      <c r="A1699" t="s">
        <v>50</v>
      </c>
      <c r="B1699" t="s">
        <v>51</v>
      </c>
      <c r="C1699" t="s">
        <v>52</v>
      </c>
      <c r="D1699" t="s">
        <v>63</v>
      </c>
    </row>
    <row r="1700" spans="1:7" x14ac:dyDescent="0.35">
      <c r="A1700" t="s">
        <v>50</v>
      </c>
      <c r="B1700" t="s">
        <v>51</v>
      </c>
      <c r="C1700" t="s">
        <v>52</v>
      </c>
    </row>
    <row r="1701" spans="1:7" x14ac:dyDescent="0.35">
      <c r="A1701" t="s">
        <v>11</v>
      </c>
    </row>
    <row r="1702" spans="1:7" x14ac:dyDescent="0.35">
      <c r="A1702" t="s">
        <v>50</v>
      </c>
      <c r="B1702" t="s">
        <v>51</v>
      </c>
      <c r="C1702" t="s">
        <v>82</v>
      </c>
      <c r="D1702" t="s">
        <v>52</v>
      </c>
      <c r="E1702" t="s">
        <v>77</v>
      </c>
      <c r="F1702" t="s">
        <v>83</v>
      </c>
      <c r="G1702" t="s">
        <v>84</v>
      </c>
    </row>
    <row r="1703" spans="1:7" x14ac:dyDescent="0.35">
      <c r="A1703" t="s">
        <v>50</v>
      </c>
      <c r="B1703" t="s">
        <v>51</v>
      </c>
      <c r="C1703" t="s">
        <v>52</v>
      </c>
    </row>
    <row r="1704" spans="1:7" x14ac:dyDescent="0.35">
      <c r="A1704" t="s">
        <v>1</v>
      </c>
      <c r="B1704" t="s">
        <v>87</v>
      </c>
      <c r="C1704" t="s">
        <v>201</v>
      </c>
    </row>
    <row r="1705" spans="1:7" x14ac:dyDescent="0.35">
      <c r="A1705" t="s">
        <v>1</v>
      </c>
      <c r="B1705" t="s">
        <v>87</v>
      </c>
    </row>
    <row r="1706" spans="1:7" x14ac:dyDescent="0.35">
      <c r="A1706" t="s">
        <v>123</v>
      </c>
      <c r="B1706" t="s">
        <v>124</v>
      </c>
      <c r="C1706" t="s">
        <v>125</v>
      </c>
    </row>
    <row r="1707" spans="1:7" x14ac:dyDescent="0.35">
      <c r="A1707" t="s">
        <v>64</v>
      </c>
      <c r="B1707" t="s">
        <v>66</v>
      </c>
      <c r="C1707" t="s">
        <v>18</v>
      </c>
      <c r="D1707" t="s">
        <v>67</v>
      </c>
      <c r="E1707" t="s">
        <v>68</v>
      </c>
    </row>
    <row r="1708" spans="1:7" x14ac:dyDescent="0.35">
      <c r="A1708" t="s">
        <v>183</v>
      </c>
      <c r="B1708" t="s">
        <v>184</v>
      </c>
      <c r="C1708" t="s">
        <v>185</v>
      </c>
      <c r="D1708" t="s">
        <v>66</v>
      </c>
      <c r="E1708" t="s">
        <v>18</v>
      </c>
      <c r="F1708" t="s">
        <v>67</v>
      </c>
    </row>
    <row r="1709" spans="1:7" x14ac:dyDescent="0.35">
      <c r="A1709" t="s">
        <v>4</v>
      </c>
    </row>
    <row r="1710" spans="1:7" x14ac:dyDescent="0.35">
      <c r="A1710" t="s">
        <v>3</v>
      </c>
    </row>
    <row r="1711" spans="1:7" x14ac:dyDescent="0.35">
      <c r="A1711" t="s">
        <v>17</v>
      </c>
    </row>
    <row r="1712" spans="1:7" x14ac:dyDescent="0.35">
      <c r="A1712" t="s">
        <v>56</v>
      </c>
      <c r="B1712" t="s">
        <v>57</v>
      </c>
    </row>
    <row r="1713" spans="1:7" x14ac:dyDescent="0.35">
      <c r="A1713" t="s">
        <v>50</v>
      </c>
      <c r="B1713" t="s">
        <v>51</v>
      </c>
      <c r="C1713" t="s">
        <v>52</v>
      </c>
      <c r="D1713" t="s">
        <v>63</v>
      </c>
    </row>
    <row r="1714" spans="1:7" x14ac:dyDescent="0.35">
      <c r="A1714" t="s">
        <v>56</v>
      </c>
      <c r="B1714" t="s">
        <v>57</v>
      </c>
    </row>
    <row r="1715" spans="1:7" x14ac:dyDescent="0.35">
      <c r="A1715" t="s">
        <v>96</v>
      </c>
      <c r="B1715" t="s">
        <v>18</v>
      </c>
    </row>
    <row r="1716" spans="1:7" x14ac:dyDescent="0.35">
      <c r="A1716" t="s">
        <v>17</v>
      </c>
    </row>
    <row r="1717" spans="1:7" x14ac:dyDescent="0.35">
      <c r="A1717" t="s">
        <v>1</v>
      </c>
    </row>
    <row r="1718" spans="1:7" x14ac:dyDescent="0.35">
      <c r="A1718" t="s">
        <v>5</v>
      </c>
    </row>
    <row r="1719" spans="1:7" x14ac:dyDescent="0.35">
      <c r="A1719" t="s">
        <v>126</v>
      </c>
      <c r="B1719" t="s">
        <v>127</v>
      </c>
    </row>
    <row r="1720" spans="1:7" x14ac:dyDescent="0.35">
      <c r="A1720" t="s">
        <v>4</v>
      </c>
    </row>
    <row r="1721" spans="1:7" x14ac:dyDescent="0.35">
      <c r="A1721" t="s">
        <v>5</v>
      </c>
    </row>
    <row r="1722" spans="1:7" x14ac:dyDescent="0.35">
      <c r="A1722" t="s">
        <v>1</v>
      </c>
    </row>
    <row r="1723" spans="1:7" x14ac:dyDescent="0.35">
      <c r="A1723" t="s">
        <v>115</v>
      </c>
      <c r="B1723" t="s">
        <v>11</v>
      </c>
    </row>
    <row r="1724" spans="1:7" x14ac:dyDescent="0.35">
      <c r="A1724" t="s">
        <v>5</v>
      </c>
    </row>
    <row r="1725" spans="1:7" x14ac:dyDescent="0.35">
      <c r="A1725" t="s">
        <v>96</v>
      </c>
      <c r="B1725" t="s">
        <v>18</v>
      </c>
    </row>
    <row r="1726" spans="1:7" x14ac:dyDescent="0.35">
      <c r="A1726" t="s">
        <v>50</v>
      </c>
      <c r="B1726" t="s">
        <v>51</v>
      </c>
      <c r="C1726" t="s">
        <v>82</v>
      </c>
      <c r="D1726" t="s">
        <v>52</v>
      </c>
      <c r="E1726" t="s">
        <v>77</v>
      </c>
      <c r="F1726" t="s">
        <v>83</v>
      </c>
      <c r="G1726" t="s">
        <v>84</v>
      </c>
    </row>
    <row r="1727" spans="1:7" x14ac:dyDescent="0.35">
      <c r="A1727" t="s">
        <v>96</v>
      </c>
      <c r="B1727" t="s">
        <v>18</v>
      </c>
    </row>
    <row r="1728" spans="1:7" x14ac:dyDescent="0.35">
      <c r="A1728" t="s">
        <v>5</v>
      </c>
    </row>
    <row r="1729" spans="1:8" x14ac:dyDescent="0.35">
      <c r="A1729" t="s">
        <v>50</v>
      </c>
      <c r="B1729" t="s">
        <v>51</v>
      </c>
      <c r="C1729" t="s">
        <v>52</v>
      </c>
    </row>
    <row r="1730" spans="1:8" x14ac:dyDescent="0.35">
      <c r="A1730" t="s">
        <v>50</v>
      </c>
      <c r="B1730" t="s">
        <v>51</v>
      </c>
      <c r="C1730" t="s">
        <v>52</v>
      </c>
    </row>
    <row r="1731" spans="1:8" x14ac:dyDescent="0.35">
      <c r="A1731" t="s">
        <v>11</v>
      </c>
    </row>
    <row r="1732" spans="1:8" x14ac:dyDescent="0.35">
      <c r="A1732" t="s">
        <v>93</v>
      </c>
      <c r="B1732" t="s">
        <v>50</v>
      </c>
      <c r="C1732" t="s">
        <v>51</v>
      </c>
      <c r="D1732" t="s">
        <v>52</v>
      </c>
      <c r="E1732" t="s">
        <v>94</v>
      </c>
      <c r="F1732" t="s">
        <v>77</v>
      </c>
      <c r="G1732" t="s">
        <v>95</v>
      </c>
    </row>
    <row r="1733" spans="1:8" x14ac:dyDescent="0.35">
      <c r="A1733" t="s">
        <v>64</v>
      </c>
      <c r="B1733" t="s">
        <v>65</v>
      </c>
      <c r="C1733" t="s">
        <v>66</v>
      </c>
      <c r="D1733" t="s">
        <v>18</v>
      </c>
      <c r="E1733" t="s">
        <v>67</v>
      </c>
      <c r="F1733" t="s">
        <v>68</v>
      </c>
    </row>
    <row r="1734" spans="1:8" x14ac:dyDescent="0.35">
      <c r="A1734" t="s">
        <v>138</v>
      </c>
      <c r="B1734" t="s">
        <v>202</v>
      </c>
      <c r="C1734" t="s">
        <v>139</v>
      </c>
      <c r="D1734" t="s">
        <v>140</v>
      </c>
      <c r="E1734" t="s">
        <v>141</v>
      </c>
      <c r="F1734" t="s">
        <v>142</v>
      </c>
      <c r="G1734" t="s">
        <v>124</v>
      </c>
      <c r="H1734" t="s">
        <v>203</v>
      </c>
    </row>
    <row r="1735" spans="1:8" x14ac:dyDescent="0.35">
      <c r="A1735" t="s">
        <v>96</v>
      </c>
      <c r="B1735" t="s">
        <v>18</v>
      </c>
    </row>
    <row r="1736" spans="1:8" x14ac:dyDescent="0.35">
      <c r="A1736" t="s">
        <v>109</v>
      </c>
      <c r="B1736" t="s">
        <v>110</v>
      </c>
      <c r="C1736" t="s">
        <v>111</v>
      </c>
    </row>
    <row r="1737" spans="1:8" x14ac:dyDescent="0.35">
      <c r="A1737" t="s">
        <v>50</v>
      </c>
      <c r="B1737" t="s">
        <v>51</v>
      </c>
      <c r="C1737" t="s">
        <v>52</v>
      </c>
    </row>
    <row r="1738" spans="1:8" x14ac:dyDescent="0.35">
      <c r="A1738" t="s">
        <v>24</v>
      </c>
    </row>
    <row r="1739" spans="1:8" x14ac:dyDescent="0.35">
      <c r="A1739" t="s">
        <v>96</v>
      </c>
      <c r="B1739" t="s">
        <v>66</v>
      </c>
      <c r="C1739" t="s">
        <v>18</v>
      </c>
      <c r="D1739" t="s">
        <v>67</v>
      </c>
      <c r="E1739" t="s">
        <v>68</v>
      </c>
    </row>
    <row r="1740" spans="1:8" x14ac:dyDescent="0.35">
      <c r="A1740" t="s">
        <v>50</v>
      </c>
      <c r="B1740" t="s">
        <v>51</v>
      </c>
      <c r="C1740" t="s">
        <v>52</v>
      </c>
    </row>
    <row r="1741" spans="1:8" x14ac:dyDescent="0.35">
      <c r="A1741" t="s">
        <v>195</v>
      </c>
      <c r="B1741" t="s">
        <v>1</v>
      </c>
    </row>
    <row r="1742" spans="1:8" x14ac:dyDescent="0.35">
      <c r="A1742" t="s">
        <v>15</v>
      </c>
    </row>
    <row r="1743" spans="1:8" x14ac:dyDescent="0.35">
      <c r="A1743" t="s">
        <v>50</v>
      </c>
      <c r="B1743" t="s">
        <v>51</v>
      </c>
      <c r="C1743" t="s">
        <v>52</v>
      </c>
      <c r="D1743" t="s">
        <v>63</v>
      </c>
    </row>
    <row r="1744" spans="1:8" x14ac:dyDescent="0.35">
      <c r="A1744" t="s">
        <v>12</v>
      </c>
    </row>
    <row r="1745" spans="1:7" x14ac:dyDescent="0.35">
      <c r="A1745" t="s">
        <v>50</v>
      </c>
      <c r="B1745" t="s">
        <v>51</v>
      </c>
      <c r="C1745" t="s">
        <v>52</v>
      </c>
      <c r="D1745" t="s">
        <v>74</v>
      </c>
      <c r="E1745" t="s">
        <v>75</v>
      </c>
    </row>
    <row r="1746" spans="1:7" x14ac:dyDescent="0.35">
      <c r="A1746" t="s">
        <v>7</v>
      </c>
    </row>
    <row r="1747" spans="1:7" x14ac:dyDescent="0.35">
      <c r="A1747" t="s">
        <v>115</v>
      </c>
      <c r="B1747" t="s">
        <v>11</v>
      </c>
    </row>
    <row r="1748" spans="1:7" x14ac:dyDescent="0.35">
      <c r="A1748" t="s">
        <v>18</v>
      </c>
    </row>
    <row r="1749" spans="1:7" x14ac:dyDescent="0.35">
      <c r="A1749" t="s">
        <v>7</v>
      </c>
    </row>
    <row r="1750" spans="1:7" x14ac:dyDescent="0.35">
      <c r="A1750" t="s">
        <v>31</v>
      </c>
    </row>
    <row r="1751" spans="1:7" x14ac:dyDescent="0.35">
      <c r="A1751" t="s">
        <v>96</v>
      </c>
      <c r="B1751" t="s">
        <v>18</v>
      </c>
    </row>
    <row r="1752" spans="1:7" x14ac:dyDescent="0.35">
      <c r="A1752" t="s">
        <v>3</v>
      </c>
    </row>
    <row r="1753" spans="1:7" x14ac:dyDescent="0.35">
      <c r="A1753" t="s">
        <v>56</v>
      </c>
      <c r="B1753" t="s">
        <v>57</v>
      </c>
    </row>
    <row r="1754" spans="1:7" x14ac:dyDescent="0.35">
      <c r="A1754" t="s">
        <v>64</v>
      </c>
      <c r="B1754" t="s">
        <v>65</v>
      </c>
      <c r="C1754" t="s">
        <v>66</v>
      </c>
      <c r="D1754" t="s">
        <v>18</v>
      </c>
      <c r="E1754" t="s">
        <v>67</v>
      </c>
      <c r="F1754" t="s">
        <v>68</v>
      </c>
    </row>
    <row r="1755" spans="1:7" x14ac:dyDescent="0.35">
      <c r="A1755" t="s">
        <v>3</v>
      </c>
    </row>
    <row r="1756" spans="1:7" x14ac:dyDescent="0.35">
      <c r="A1756" t="s">
        <v>100</v>
      </c>
      <c r="B1756" t="s">
        <v>101</v>
      </c>
      <c r="C1756" t="s">
        <v>102</v>
      </c>
    </row>
    <row r="1757" spans="1:7" x14ac:dyDescent="0.35">
      <c r="A1757" t="s">
        <v>50</v>
      </c>
      <c r="B1757" t="s">
        <v>51</v>
      </c>
      <c r="C1757" t="s">
        <v>52</v>
      </c>
    </row>
    <row r="1758" spans="1:7" x14ac:dyDescent="0.35">
      <c r="A1758" t="s">
        <v>93</v>
      </c>
      <c r="B1758" t="s">
        <v>50</v>
      </c>
      <c r="C1758" t="s">
        <v>51</v>
      </c>
      <c r="D1758" t="s">
        <v>52</v>
      </c>
      <c r="E1758" t="s">
        <v>94</v>
      </c>
      <c r="F1758" t="s">
        <v>77</v>
      </c>
      <c r="G1758" t="s">
        <v>95</v>
      </c>
    </row>
    <row r="1759" spans="1:7" x14ac:dyDescent="0.35">
      <c r="A1759" t="s">
        <v>50</v>
      </c>
      <c r="B1759" t="s">
        <v>51</v>
      </c>
      <c r="C1759" t="s">
        <v>52</v>
      </c>
    </row>
    <row r="1760" spans="1:7" x14ac:dyDescent="0.35">
      <c r="A1760" t="s">
        <v>12</v>
      </c>
    </row>
    <row r="1761" spans="1:4" x14ac:dyDescent="0.35">
      <c r="A1761" t="s">
        <v>50</v>
      </c>
      <c r="B1761" t="s">
        <v>51</v>
      </c>
      <c r="C1761" t="s">
        <v>52</v>
      </c>
    </row>
    <row r="1762" spans="1:4" x14ac:dyDescent="0.35">
      <c r="A1762" t="s">
        <v>3</v>
      </c>
    </row>
    <row r="1763" spans="1:4" x14ac:dyDescent="0.35">
      <c r="A1763" t="s">
        <v>108</v>
      </c>
      <c r="B1763" t="s">
        <v>11</v>
      </c>
    </row>
    <row r="1764" spans="1:4" x14ac:dyDescent="0.35">
      <c r="A1764" t="s">
        <v>12</v>
      </c>
    </row>
    <row r="1765" spans="1:4" x14ac:dyDescent="0.35">
      <c r="A1765" t="s">
        <v>96</v>
      </c>
      <c r="B1765" t="s">
        <v>18</v>
      </c>
    </row>
    <row r="1766" spans="1:4" x14ac:dyDescent="0.35">
      <c r="A1766" t="s">
        <v>15</v>
      </c>
    </row>
    <row r="1767" spans="1:4" x14ac:dyDescent="0.35">
      <c r="A1767" t="s">
        <v>109</v>
      </c>
      <c r="B1767" t="s">
        <v>110</v>
      </c>
      <c r="C1767" t="s">
        <v>111</v>
      </c>
    </row>
    <row r="1768" spans="1:4" x14ac:dyDescent="0.35">
      <c r="A1768" t="s">
        <v>96</v>
      </c>
      <c r="B1768" t="s">
        <v>18</v>
      </c>
    </row>
    <row r="1769" spans="1:4" x14ac:dyDescent="0.35">
      <c r="A1769" t="s">
        <v>81</v>
      </c>
      <c r="B1769" t="s">
        <v>11</v>
      </c>
    </row>
    <row r="1770" spans="1:4" x14ac:dyDescent="0.35">
      <c r="A1770" t="s">
        <v>108</v>
      </c>
      <c r="B1770" t="s">
        <v>11</v>
      </c>
    </row>
    <row r="1771" spans="1:4" x14ac:dyDescent="0.35">
      <c r="A1771" t="s">
        <v>50</v>
      </c>
      <c r="B1771" t="s">
        <v>51</v>
      </c>
      <c r="C1771" t="s">
        <v>52</v>
      </c>
      <c r="D1771" t="s">
        <v>136</v>
      </c>
    </row>
    <row r="1772" spans="1:4" x14ac:dyDescent="0.35">
      <c r="A1772" t="s">
        <v>7</v>
      </c>
    </row>
    <row r="1773" spans="1:4" x14ac:dyDescent="0.35">
      <c r="A1773" t="s">
        <v>195</v>
      </c>
      <c r="B1773" t="s">
        <v>1</v>
      </c>
    </row>
    <row r="1774" spans="1:4" x14ac:dyDescent="0.35">
      <c r="A1774" t="s">
        <v>3</v>
      </c>
    </row>
    <row r="1775" spans="1:4" x14ac:dyDescent="0.35">
      <c r="A1775" t="s">
        <v>3</v>
      </c>
    </row>
    <row r="1776" spans="1:4" x14ac:dyDescent="0.35">
      <c r="A1776" t="s">
        <v>96</v>
      </c>
      <c r="B1776" t="s">
        <v>18</v>
      </c>
    </row>
    <row r="1777" spans="1:7" x14ac:dyDescent="0.35">
      <c r="A1777" t="s">
        <v>17</v>
      </c>
    </row>
    <row r="1778" spans="1:7" x14ac:dyDescent="0.35">
      <c r="A1778" t="s">
        <v>50</v>
      </c>
      <c r="B1778" t="s">
        <v>51</v>
      </c>
      <c r="C1778" t="s">
        <v>52</v>
      </c>
      <c r="D1778" t="s">
        <v>63</v>
      </c>
    </row>
    <row r="1779" spans="1:7" x14ac:dyDescent="0.35">
      <c r="A1779" t="s">
        <v>3</v>
      </c>
    </row>
    <row r="1780" spans="1:7" x14ac:dyDescent="0.35">
      <c r="A1780" t="s">
        <v>7</v>
      </c>
    </row>
    <row r="1781" spans="1:7" x14ac:dyDescent="0.35">
      <c r="A1781" t="s">
        <v>93</v>
      </c>
      <c r="B1781" t="s">
        <v>50</v>
      </c>
      <c r="C1781" t="s">
        <v>51</v>
      </c>
      <c r="D1781" t="s">
        <v>52</v>
      </c>
      <c r="E1781" t="s">
        <v>94</v>
      </c>
      <c r="F1781" t="s">
        <v>77</v>
      </c>
      <c r="G1781" t="s">
        <v>95</v>
      </c>
    </row>
    <row r="1782" spans="1:7" x14ac:dyDescent="0.35">
      <c r="A1782" t="s">
        <v>3</v>
      </c>
    </row>
    <row r="1783" spans="1:7" x14ac:dyDescent="0.35">
      <c r="A1783" t="s">
        <v>64</v>
      </c>
      <c r="B1783" t="s">
        <v>65</v>
      </c>
      <c r="C1783" t="s">
        <v>66</v>
      </c>
      <c r="D1783" t="s">
        <v>18</v>
      </c>
      <c r="E1783" t="s">
        <v>129</v>
      </c>
      <c r="F1783" t="s">
        <v>67</v>
      </c>
      <c r="G1783" t="s">
        <v>68</v>
      </c>
    </row>
    <row r="1784" spans="1:7" x14ac:dyDescent="0.35">
      <c r="A1784" t="s">
        <v>50</v>
      </c>
      <c r="B1784" t="s">
        <v>51</v>
      </c>
      <c r="C1784" t="s">
        <v>52</v>
      </c>
    </row>
    <row r="1785" spans="1:7" x14ac:dyDescent="0.35">
      <c r="A1785" t="s">
        <v>17</v>
      </c>
    </row>
    <row r="1786" spans="1:7" x14ac:dyDescent="0.35">
      <c r="A1786" t="s">
        <v>105</v>
      </c>
      <c r="B1786" t="s">
        <v>14</v>
      </c>
    </row>
    <row r="1787" spans="1:7" x14ac:dyDescent="0.35">
      <c r="A1787" t="s">
        <v>20</v>
      </c>
    </row>
    <row r="1788" spans="1:7" x14ac:dyDescent="0.35">
      <c r="A1788" t="s">
        <v>12</v>
      </c>
    </row>
    <row r="1789" spans="1:7" x14ac:dyDescent="0.35">
      <c r="A1789" t="s">
        <v>81</v>
      </c>
      <c r="B1789" t="s">
        <v>11</v>
      </c>
    </row>
    <row r="1790" spans="1:7" x14ac:dyDescent="0.35">
      <c r="A1790" t="s">
        <v>50</v>
      </c>
      <c r="B1790" t="s">
        <v>51</v>
      </c>
      <c r="C1790" t="s">
        <v>52</v>
      </c>
    </row>
    <row r="1791" spans="1:7" x14ac:dyDescent="0.35">
      <c r="A1791" t="s">
        <v>1</v>
      </c>
      <c r="B1791" t="s">
        <v>87</v>
      </c>
    </row>
    <row r="1792" spans="1:7" x14ac:dyDescent="0.35">
      <c r="A1792" t="s">
        <v>17</v>
      </c>
    </row>
    <row r="1793" spans="1:7" x14ac:dyDescent="0.35">
      <c r="A1793" t="s">
        <v>50</v>
      </c>
      <c r="B1793" t="s">
        <v>51</v>
      </c>
      <c r="C1793" t="s">
        <v>52</v>
      </c>
    </row>
    <row r="1794" spans="1:7" x14ac:dyDescent="0.35">
      <c r="A1794" t="s">
        <v>64</v>
      </c>
      <c r="B1794" t="s">
        <v>65</v>
      </c>
      <c r="C1794" t="s">
        <v>66</v>
      </c>
      <c r="D1794" t="s">
        <v>18</v>
      </c>
      <c r="E1794" t="s">
        <v>129</v>
      </c>
      <c r="F1794" t="s">
        <v>67</v>
      </c>
      <c r="G1794" t="s">
        <v>68</v>
      </c>
    </row>
    <row r="1795" spans="1:7" x14ac:dyDescent="0.35">
      <c r="A1795" t="s">
        <v>50</v>
      </c>
      <c r="B1795" t="s">
        <v>51</v>
      </c>
      <c r="C1795" t="s">
        <v>52</v>
      </c>
      <c r="D1795" t="s">
        <v>77</v>
      </c>
      <c r="E1795" t="s">
        <v>83</v>
      </c>
      <c r="F1795" t="s">
        <v>84</v>
      </c>
    </row>
    <row r="1796" spans="1:7" x14ac:dyDescent="0.35">
      <c r="A1796" t="s">
        <v>32</v>
      </c>
    </row>
    <row r="1797" spans="1:7" x14ac:dyDescent="0.35">
      <c r="A1797" t="s">
        <v>56</v>
      </c>
      <c r="B1797" t="s">
        <v>57</v>
      </c>
    </row>
    <row r="1798" spans="1:7" x14ac:dyDescent="0.35">
      <c r="A1798" t="s">
        <v>2</v>
      </c>
    </row>
    <row r="1799" spans="1:7" x14ac:dyDescent="0.35">
      <c r="A1799" t="s">
        <v>93</v>
      </c>
      <c r="B1799" t="s">
        <v>50</v>
      </c>
      <c r="C1799" t="s">
        <v>51</v>
      </c>
      <c r="D1799" t="s">
        <v>52</v>
      </c>
      <c r="E1799" t="s">
        <v>94</v>
      </c>
      <c r="F1799" t="s">
        <v>77</v>
      </c>
      <c r="G1799" t="s">
        <v>95</v>
      </c>
    </row>
    <row r="1800" spans="1:7" x14ac:dyDescent="0.35">
      <c r="A1800" t="s">
        <v>3</v>
      </c>
    </row>
    <row r="1801" spans="1:7" x14ac:dyDescent="0.35">
      <c r="A1801" t="s">
        <v>2</v>
      </c>
    </row>
    <row r="1802" spans="1:7" x14ac:dyDescent="0.35">
      <c r="A1802" t="s">
        <v>50</v>
      </c>
      <c r="B1802" t="s">
        <v>51</v>
      </c>
      <c r="C1802" t="s">
        <v>52</v>
      </c>
    </row>
    <row r="1803" spans="1:7" x14ac:dyDescent="0.35">
      <c r="A1803" t="s">
        <v>64</v>
      </c>
      <c r="B1803" t="s">
        <v>65</v>
      </c>
      <c r="C1803" t="s">
        <v>66</v>
      </c>
      <c r="D1803" t="s">
        <v>18</v>
      </c>
      <c r="E1803" t="s">
        <v>67</v>
      </c>
      <c r="F1803" t="s">
        <v>68</v>
      </c>
    </row>
    <row r="1804" spans="1:7" x14ac:dyDescent="0.35">
      <c r="A1804" t="s">
        <v>93</v>
      </c>
      <c r="B1804" t="s">
        <v>50</v>
      </c>
      <c r="C1804" t="s">
        <v>51</v>
      </c>
      <c r="D1804" t="s">
        <v>52</v>
      </c>
      <c r="E1804" t="s">
        <v>94</v>
      </c>
      <c r="F1804" t="s">
        <v>77</v>
      </c>
      <c r="G1804" t="s">
        <v>95</v>
      </c>
    </row>
    <row r="1805" spans="1:7" x14ac:dyDescent="0.35">
      <c r="A1805" t="s">
        <v>17</v>
      </c>
    </row>
    <row r="1806" spans="1:7" x14ac:dyDescent="0.35">
      <c r="A1806" t="s">
        <v>96</v>
      </c>
      <c r="B1806" t="s">
        <v>18</v>
      </c>
    </row>
    <row r="1807" spans="1:7" x14ac:dyDescent="0.35">
      <c r="A1807" t="s">
        <v>4</v>
      </c>
    </row>
    <row r="1808" spans="1:7" x14ac:dyDescent="0.35">
      <c r="A1808" t="s">
        <v>17</v>
      </c>
    </row>
    <row r="1809" spans="1:6" x14ac:dyDescent="0.35">
      <c r="A1809" t="s">
        <v>105</v>
      </c>
      <c r="B1809" t="s">
        <v>137</v>
      </c>
      <c r="C1809" t="s">
        <v>11</v>
      </c>
    </row>
    <row r="1810" spans="1:6" x14ac:dyDescent="0.35">
      <c r="A1810" t="s">
        <v>7</v>
      </c>
    </row>
    <row r="1811" spans="1:6" x14ac:dyDescent="0.35">
      <c r="A1811" t="s">
        <v>96</v>
      </c>
      <c r="B1811" t="s">
        <v>176</v>
      </c>
      <c r="C1811" t="s">
        <v>66</v>
      </c>
      <c r="D1811" t="s">
        <v>18</v>
      </c>
      <c r="E1811" t="s">
        <v>67</v>
      </c>
      <c r="F1811" t="s">
        <v>68</v>
      </c>
    </row>
    <row r="1812" spans="1:6" x14ac:dyDescent="0.35">
      <c r="A1812" t="s">
        <v>64</v>
      </c>
      <c r="B1812" t="s">
        <v>65</v>
      </c>
      <c r="C1812" t="s">
        <v>66</v>
      </c>
      <c r="D1812" t="s">
        <v>18</v>
      </c>
      <c r="E1812" t="s">
        <v>67</v>
      </c>
      <c r="F1812" t="s">
        <v>68</v>
      </c>
    </row>
    <row r="1813" spans="1:6" x14ac:dyDescent="0.35">
      <c r="A1813" t="s">
        <v>1</v>
      </c>
    </row>
    <row r="1814" spans="1:6" x14ac:dyDescent="0.35">
      <c r="A1814" t="s">
        <v>56</v>
      </c>
      <c r="B1814" t="s">
        <v>57</v>
      </c>
    </row>
    <row r="1815" spans="1:6" x14ac:dyDescent="0.35">
      <c r="A1815" t="s">
        <v>6</v>
      </c>
    </row>
    <row r="1816" spans="1:6" x14ac:dyDescent="0.35">
      <c r="A1816" t="s">
        <v>2</v>
      </c>
    </row>
    <row r="1817" spans="1:6" x14ac:dyDescent="0.35">
      <c r="A1817" t="s">
        <v>50</v>
      </c>
      <c r="B1817" t="s">
        <v>51</v>
      </c>
      <c r="C1817" t="s">
        <v>52</v>
      </c>
      <c r="D1817" t="s">
        <v>72</v>
      </c>
      <c r="E1817" t="s">
        <v>73</v>
      </c>
    </row>
    <row r="1818" spans="1:6" x14ac:dyDescent="0.35">
      <c r="A1818" t="s">
        <v>17</v>
      </c>
    </row>
    <row r="1819" spans="1:6" x14ac:dyDescent="0.35">
      <c r="A1819" t="s">
        <v>18</v>
      </c>
      <c r="B1819" t="s">
        <v>130</v>
      </c>
    </row>
    <row r="1820" spans="1:6" x14ac:dyDescent="0.35">
      <c r="A1820" t="s">
        <v>18</v>
      </c>
      <c r="B1820" t="s">
        <v>160</v>
      </c>
    </row>
    <row r="1821" spans="1:6" x14ac:dyDescent="0.35">
      <c r="A1821" t="s">
        <v>50</v>
      </c>
      <c r="B1821" t="s">
        <v>51</v>
      </c>
      <c r="C1821" t="s">
        <v>52</v>
      </c>
      <c r="D1821" t="s">
        <v>60</v>
      </c>
      <c r="E1821" t="s">
        <v>61</v>
      </c>
    </row>
    <row r="1822" spans="1:6" x14ac:dyDescent="0.35">
      <c r="A1822" t="s">
        <v>96</v>
      </c>
      <c r="B1822" t="s">
        <v>18</v>
      </c>
    </row>
    <row r="1823" spans="1:6" x14ac:dyDescent="0.35">
      <c r="A1823" t="s">
        <v>50</v>
      </c>
      <c r="B1823" t="s">
        <v>51</v>
      </c>
      <c r="C1823" t="s">
        <v>52</v>
      </c>
    </row>
    <row r="1824" spans="1:6" x14ac:dyDescent="0.35">
      <c r="A1824" t="s">
        <v>50</v>
      </c>
      <c r="B1824" t="s">
        <v>51</v>
      </c>
      <c r="C1824" t="s">
        <v>52</v>
      </c>
      <c r="D1824" t="s">
        <v>63</v>
      </c>
    </row>
    <row r="1825" spans="1:7" x14ac:dyDescent="0.35">
      <c r="A1825" t="s">
        <v>64</v>
      </c>
      <c r="B1825" t="s">
        <v>65</v>
      </c>
      <c r="C1825" t="s">
        <v>66</v>
      </c>
      <c r="D1825" t="s">
        <v>18</v>
      </c>
      <c r="E1825" t="s">
        <v>67</v>
      </c>
      <c r="F1825" t="s">
        <v>68</v>
      </c>
    </row>
    <row r="1826" spans="1:7" x14ac:dyDescent="0.35">
      <c r="A1826" t="s">
        <v>3</v>
      </c>
    </row>
    <row r="1827" spans="1:7" x14ac:dyDescent="0.35">
      <c r="A1827" t="s">
        <v>7</v>
      </c>
    </row>
    <row r="1828" spans="1:7" x14ac:dyDescent="0.35">
      <c r="A1828" t="s">
        <v>1</v>
      </c>
      <c r="B1828" t="s">
        <v>87</v>
      </c>
      <c r="C1828" t="s">
        <v>204</v>
      </c>
    </row>
    <row r="1829" spans="1:7" x14ac:dyDescent="0.35">
      <c r="A1829" t="s">
        <v>64</v>
      </c>
      <c r="B1829" t="s">
        <v>65</v>
      </c>
      <c r="C1829" t="s">
        <v>158</v>
      </c>
      <c r="D1829" t="s">
        <v>66</v>
      </c>
      <c r="E1829" t="s">
        <v>18</v>
      </c>
      <c r="F1829" t="s">
        <v>67</v>
      </c>
      <c r="G1829" t="s">
        <v>68</v>
      </c>
    </row>
    <row r="1830" spans="1:7" x14ac:dyDescent="0.35">
      <c r="A1830" t="s">
        <v>93</v>
      </c>
      <c r="B1830" t="s">
        <v>50</v>
      </c>
      <c r="C1830" t="s">
        <v>51</v>
      </c>
      <c r="D1830" t="s">
        <v>52</v>
      </c>
    </row>
    <row r="1831" spans="1:7" x14ac:dyDescent="0.35">
      <c r="A1831" t="s">
        <v>33</v>
      </c>
    </row>
    <row r="1832" spans="1:7" x14ac:dyDescent="0.35">
      <c r="A1832" t="s">
        <v>7</v>
      </c>
    </row>
    <row r="1833" spans="1:7" x14ac:dyDescent="0.35">
      <c r="A1833" t="s">
        <v>56</v>
      </c>
      <c r="B1833" t="s">
        <v>57</v>
      </c>
      <c r="C1833" t="s">
        <v>99</v>
      </c>
    </row>
    <row r="1834" spans="1:7" x14ac:dyDescent="0.35">
      <c r="A1834" t="s">
        <v>64</v>
      </c>
      <c r="B1834" t="s">
        <v>66</v>
      </c>
      <c r="C1834" t="s">
        <v>18</v>
      </c>
      <c r="D1834" t="s">
        <v>67</v>
      </c>
      <c r="E1834" t="s">
        <v>68</v>
      </c>
    </row>
    <row r="1835" spans="1:7" x14ac:dyDescent="0.35">
      <c r="A1835" t="s">
        <v>3</v>
      </c>
    </row>
    <row r="1836" spans="1:7" x14ac:dyDescent="0.35">
      <c r="A1836" t="s">
        <v>96</v>
      </c>
      <c r="B1836" t="s">
        <v>18</v>
      </c>
    </row>
    <row r="1837" spans="1:7" x14ac:dyDescent="0.35">
      <c r="A1837" t="s">
        <v>123</v>
      </c>
      <c r="B1837" t="s">
        <v>124</v>
      </c>
      <c r="C1837" t="s">
        <v>125</v>
      </c>
    </row>
    <row r="1838" spans="1:7" x14ac:dyDescent="0.35">
      <c r="A1838" t="s">
        <v>1</v>
      </c>
      <c r="B1838" t="s">
        <v>87</v>
      </c>
      <c r="C1838" t="s">
        <v>131</v>
      </c>
    </row>
    <row r="1839" spans="1:7" x14ac:dyDescent="0.35">
      <c r="A1839" t="s">
        <v>50</v>
      </c>
      <c r="B1839" t="s">
        <v>51</v>
      </c>
      <c r="C1839" t="s">
        <v>52</v>
      </c>
      <c r="D1839" t="s">
        <v>63</v>
      </c>
    </row>
    <row r="1840" spans="1:7" x14ac:dyDescent="0.35">
      <c r="A1840" t="s">
        <v>50</v>
      </c>
      <c r="B1840" t="s">
        <v>51</v>
      </c>
      <c r="C1840" t="s">
        <v>52</v>
      </c>
      <c r="D1840" t="s">
        <v>61</v>
      </c>
    </row>
    <row r="1841" spans="1:7" x14ac:dyDescent="0.35">
      <c r="A1841" t="s">
        <v>81</v>
      </c>
      <c r="B1841" t="s">
        <v>11</v>
      </c>
    </row>
    <row r="1842" spans="1:7" x14ac:dyDescent="0.35">
      <c r="A1842" t="s">
        <v>93</v>
      </c>
      <c r="B1842" t="s">
        <v>50</v>
      </c>
      <c r="C1842" t="s">
        <v>51</v>
      </c>
      <c r="D1842" t="s">
        <v>52</v>
      </c>
      <c r="E1842" t="s">
        <v>94</v>
      </c>
      <c r="F1842" t="s">
        <v>77</v>
      </c>
      <c r="G1842" t="s">
        <v>95</v>
      </c>
    </row>
    <row r="1843" spans="1:7" x14ac:dyDescent="0.35">
      <c r="A1843" t="s">
        <v>11</v>
      </c>
    </row>
    <row r="1844" spans="1:7" x14ac:dyDescent="0.35">
      <c r="A1844" t="s">
        <v>50</v>
      </c>
      <c r="B1844" t="s">
        <v>51</v>
      </c>
      <c r="C1844" t="s">
        <v>52</v>
      </c>
    </row>
    <row r="1845" spans="1:7" x14ac:dyDescent="0.35">
      <c r="A1845" t="s">
        <v>64</v>
      </c>
      <c r="B1845" t="s">
        <v>65</v>
      </c>
      <c r="C1845" t="s">
        <v>66</v>
      </c>
      <c r="D1845" t="s">
        <v>18</v>
      </c>
      <c r="E1845" t="s">
        <v>67</v>
      </c>
      <c r="F1845" t="s">
        <v>68</v>
      </c>
    </row>
    <row r="1846" spans="1:7" x14ac:dyDescent="0.35">
      <c r="A1846" t="s">
        <v>12</v>
      </c>
    </row>
    <row r="1847" spans="1:7" x14ac:dyDescent="0.35">
      <c r="A1847" t="s">
        <v>1</v>
      </c>
      <c r="B1847" t="s">
        <v>87</v>
      </c>
      <c r="C1847" t="s">
        <v>204</v>
      </c>
    </row>
    <row r="1848" spans="1:7" x14ac:dyDescent="0.35">
      <c r="A1848" t="s">
        <v>18</v>
      </c>
      <c r="B1848" t="s">
        <v>160</v>
      </c>
    </row>
    <row r="1849" spans="1:7" x14ac:dyDescent="0.35">
      <c r="A1849" t="s">
        <v>96</v>
      </c>
      <c r="B1849" t="s">
        <v>18</v>
      </c>
    </row>
    <row r="1850" spans="1:7" x14ac:dyDescent="0.35">
      <c r="A1850" t="s">
        <v>7</v>
      </c>
    </row>
    <row r="1851" spans="1:7" x14ac:dyDescent="0.35">
      <c r="A1851" t="s">
        <v>56</v>
      </c>
      <c r="B1851" t="s">
        <v>57</v>
      </c>
      <c r="C1851" t="s">
        <v>132</v>
      </c>
      <c r="D1851" t="s">
        <v>99</v>
      </c>
    </row>
    <row r="1852" spans="1:7" x14ac:dyDescent="0.35">
      <c r="A1852" t="s">
        <v>56</v>
      </c>
      <c r="B1852" t="s">
        <v>57</v>
      </c>
    </row>
    <row r="1853" spans="1:7" x14ac:dyDescent="0.35">
      <c r="A1853" t="s">
        <v>15</v>
      </c>
    </row>
    <row r="1854" spans="1:7" x14ac:dyDescent="0.35">
      <c r="A1854" t="s">
        <v>15</v>
      </c>
    </row>
    <row r="1855" spans="1:7" x14ac:dyDescent="0.35">
      <c r="A1855" t="s">
        <v>154</v>
      </c>
      <c r="B1855" t="s">
        <v>1</v>
      </c>
    </row>
    <row r="1856" spans="1:7" x14ac:dyDescent="0.35">
      <c r="A1856" t="s">
        <v>56</v>
      </c>
      <c r="B1856" t="s">
        <v>57</v>
      </c>
    </row>
    <row r="1857" spans="1:6" x14ac:dyDescent="0.35">
      <c r="A1857" t="s">
        <v>151</v>
      </c>
      <c r="B1857" t="s">
        <v>152</v>
      </c>
      <c r="C1857" t="s">
        <v>153</v>
      </c>
    </row>
    <row r="1858" spans="1:6" x14ac:dyDescent="0.35">
      <c r="A1858" t="s">
        <v>81</v>
      </c>
      <c r="B1858" t="s">
        <v>11</v>
      </c>
    </row>
    <row r="1859" spans="1:6" x14ac:dyDescent="0.35">
      <c r="A1859" t="s">
        <v>123</v>
      </c>
      <c r="B1859" t="s">
        <v>124</v>
      </c>
      <c r="C1859" t="s">
        <v>125</v>
      </c>
    </row>
    <row r="1860" spans="1:6" x14ac:dyDescent="0.35">
      <c r="A1860" t="s">
        <v>3</v>
      </c>
    </row>
    <row r="1861" spans="1:6" x14ac:dyDescent="0.35">
      <c r="A1861" t="s">
        <v>50</v>
      </c>
      <c r="B1861" t="s">
        <v>51</v>
      </c>
      <c r="C1861" t="s">
        <v>52</v>
      </c>
      <c r="D1861" t="s">
        <v>72</v>
      </c>
      <c r="E1861" t="s">
        <v>73</v>
      </c>
      <c r="F1861" t="s">
        <v>113</v>
      </c>
    </row>
    <row r="1862" spans="1:6" x14ac:dyDescent="0.35">
      <c r="A1862" t="s">
        <v>50</v>
      </c>
      <c r="B1862" t="s">
        <v>51</v>
      </c>
      <c r="C1862" t="s">
        <v>52</v>
      </c>
      <c r="D1862" t="s">
        <v>61</v>
      </c>
    </row>
    <row r="1863" spans="1:6" x14ac:dyDescent="0.35">
      <c r="A1863" t="s">
        <v>12</v>
      </c>
    </row>
    <row r="1864" spans="1:6" x14ac:dyDescent="0.35">
      <c r="A1864" t="s">
        <v>1</v>
      </c>
    </row>
    <row r="1865" spans="1:6" x14ac:dyDescent="0.35">
      <c r="A1865" t="s">
        <v>17</v>
      </c>
    </row>
    <row r="1866" spans="1:6" x14ac:dyDescent="0.35">
      <c r="A1866" t="s">
        <v>7</v>
      </c>
    </row>
    <row r="1867" spans="1:6" x14ac:dyDescent="0.35">
      <c r="A1867" t="s">
        <v>50</v>
      </c>
      <c r="B1867" t="s">
        <v>51</v>
      </c>
      <c r="C1867" t="s">
        <v>52</v>
      </c>
      <c r="D1867" t="s">
        <v>60</v>
      </c>
      <c r="E1867" t="s">
        <v>61</v>
      </c>
    </row>
    <row r="1868" spans="1:6" x14ac:dyDescent="0.35">
      <c r="A1868" t="s">
        <v>17</v>
      </c>
    </row>
    <row r="1869" spans="1:6" x14ac:dyDescent="0.35">
      <c r="A1869" t="s">
        <v>18</v>
      </c>
      <c r="B1869" t="s">
        <v>160</v>
      </c>
    </row>
    <row r="1870" spans="1:6" x14ac:dyDescent="0.35">
      <c r="A1870" t="s">
        <v>148</v>
      </c>
      <c r="B1870" t="s">
        <v>18</v>
      </c>
    </row>
    <row r="1871" spans="1:6" x14ac:dyDescent="0.35">
      <c r="A1871" t="s">
        <v>5</v>
      </c>
    </row>
    <row r="1872" spans="1:6" x14ac:dyDescent="0.35">
      <c r="A1872" t="s">
        <v>115</v>
      </c>
      <c r="B1872" t="s">
        <v>11</v>
      </c>
    </row>
    <row r="1873" spans="1:6" x14ac:dyDescent="0.35">
      <c r="A1873" t="s">
        <v>12</v>
      </c>
    </row>
    <row r="1874" spans="1:6" x14ac:dyDescent="0.35">
      <c r="A1874" t="s">
        <v>7</v>
      </c>
    </row>
    <row r="1875" spans="1:6" x14ac:dyDescent="0.35">
      <c r="A1875" t="s">
        <v>15</v>
      </c>
    </row>
    <row r="1876" spans="1:6" x14ac:dyDescent="0.35">
      <c r="A1876" t="s">
        <v>64</v>
      </c>
      <c r="B1876" t="s">
        <v>65</v>
      </c>
      <c r="C1876" t="s">
        <v>66</v>
      </c>
      <c r="D1876" t="s">
        <v>18</v>
      </c>
      <c r="E1876" t="s">
        <v>67</v>
      </c>
      <c r="F1876" t="s">
        <v>68</v>
      </c>
    </row>
    <row r="1877" spans="1:6" x14ac:dyDescent="0.35">
      <c r="A1877" t="s">
        <v>93</v>
      </c>
      <c r="B1877" t="s">
        <v>50</v>
      </c>
      <c r="C1877" t="s">
        <v>51</v>
      </c>
      <c r="D1877" t="s">
        <v>52</v>
      </c>
    </row>
    <row r="1878" spans="1:6" x14ac:dyDescent="0.35">
      <c r="A1878" t="s">
        <v>50</v>
      </c>
      <c r="B1878" t="s">
        <v>51</v>
      </c>
      <c r="C1878" t="s">
        <v>52</v>
      </c>
    </row>
    <row r="1879" spans="1:6" x14ac:dyDescent="0.35">
      <c r="A1879" t="s">
        <v>50</v>
      </c>
      <c r="B1879" t="s">
        <v>51</v>
      </c>
      <c r="C1879" t="s">
        <v>52</v>
      </c>
      <c r="D1879" t="s">
        <v>72</v>
      </c>
      <c r="E1879" t="s">
        <v>73</v>
      </c>
    </row>
    <row r="1880" spans="1:6" x14ac:dyDescent="0.35">
      <c r="A1880" t="s">
        <v>11</v>
      </c>
    </row>
    <row r="1881" spans="1:6" x14ac:dyDescent="0.35">
      <c r="A1881" t="s">
        <v>50</v>
      </c>
      <c r="B1881" t="s">
        <v>51</v>
      </c>
      <c r="C1881" t="s">
        <v>52</v>
      </c>
      <c r="D1881" t="s">
        <v>77</v>
      </c>
      <c r="E1881" t="s">
        <v>83</v>
      </c>
      <c r="F1881" t="s">
        <v>84</v>
      </c>
    </row>
    <row r="1882" spans="1:6" x14ac:dyDescent="0.35">
      <c r="A1882" t="s">
        <v>50</v>
      </c>
      <c r="B1882" t="s">
        <v>51</v>
      </c>
      <c r="C1882" t="s">
        <v>52</v>
      </c>
      <c r="D1882" t="s">
        <v>63</v>
      </c>
    </row>
    <row r="1883" spans="1:6" x14ac:dyDescent="0.35">
      <c r="A1883" t="s">
        <v>64</v>
      </c>
      <c r="B1883" t="s">
        <v>65</v>
      </c>
      <c r="C1883" t="s">
        <v>66</v>
      </c>
      <c r="D1883" t="s">
        <v>18</v>
      </c>
      <c r="E1883" t="s">
        <v>67</v>
      </c>
      <c r="F1883" t="s">
        <v>68</v>
      </c>
    </row>
    <row r="1884" spans="1:6" x14ac:dyDescent="0.35">
      <c r="A1884" t="s">
        <v>7</v>
      </c>
    </row>
    <row r="1885" spans="1:6" x14ac:dyDescent="0.35">
      <c r="A1885" t="s">
        <v>64</v>
      </c>
      <c r="B1885" t="s">
        <v>65</v>
      </c>
      <c r="C1885" t="s">
        <v>66</v>
      </c>
      <c r="D1885" t="s">
        <v>18</v>
      </c>
      <c r="E1885" t="s">
        <v>67</v>
      </c>
      <c r="F1885" t="s">
        <v>68</v>
      </c>
    </row>
    <row r="1886" spans="1:6" x14ac:dyDescent="0.35">
      <c r="A1886" t="s">
        <v>50</v>
      </c>
      <c r="B1886" t="s">
        <v>51</v>
      </c>
      <c r="C1886" t="s">
        <v>52</v>
      </c>
      <c r="D1886" t="s">
        <v>63</v>
      </c>
    </row>
    <row r="1887" spans="1:6" x14ac:dyDescent="0.35">
      <c r="A1887" t="s">
        <v>64</v>
      </c>
      <c r="B1887" t="s">
        <v>66</v>
      </c>
      <c r="C1887" t="s">
        <v>18</v>
      </c>
      <c r="D1887" t="s">
        <v>67</v>
      </c>
      <c r="E1887" t="s">
        <v>68</v>
      </c>
    </row>
    <row r="1888" spans="1:6" x14ac:dyDescent="0.35">
      <c r="A1888" t="s">
        <v>1</v>
      </c>
      <c r="B1888" t="s">
        <v>87</v>
      </c>
    </row>
    <row r="1889" spans="1:3" x14ac:dyDescent="0.35">
      <c r="A1889" t="s">
        <v>50</v>
      </c>
      <c r="B1889" t="s">
        <v>51</v>
      </c>
      <c r="C1889" t="s">
        <v>52</v>
      </c>
    </row>
    <row r="1890" spans="1:3" x14ac:dyDescent="0.35">
      <c r="A1890" t="s">
        <v>96</v>
      </c>
      <c r="B1890" t="s">
        <v>18</v>
      </c>
    </row>
    <row r="1891" spans="1:3" x14ac:dyDescent="0.35">
      <c r="A1891" t="s">
        <v>8</v>
      </c>
    </row>
    <row r="1892" spans="1:3" x14ac:dyDescent="0.35">
      <c r="A1892" t="s">
        <v>18</v>
      </c>
      <c r="B1892" t="s">
        <v>160</v>
      </c>
    </row>
    <row r="1893" spans="1:3" x14ac:dyDescent="0.35">
      <c r="A1893" t="s">
        <v>1</v>
      </c>
      <c r="B1893" t="s">
        <v>87</v>
      </c>
      <c r="C1893" t="s">
        <v>188</v>
      </c>
    </row>
    <row r="1894" spans="1:3" x14ac:dyDescent="0.35">
      <c r="A1894" t="s">
        <v>1</v>
      </c>
    </row>
    <row r="1895" spans="1:3" x14ac:dyDescent="0.35">
      <c r="A1895" t="s">
        <v>15</v>
      </c>
    </row>
    <row r="1896" spans="1:3" x14ac:dyDescent="0.35">
      <c r="A1896" t="s">
        <v>1</v>
      </c>
    </row>
    <row r="1897" spans="1:3" x14ac:dyDescent="0.35">
      <c r="A1897" t="s">
        <v>81</v>
      </c>
      <c r="B1897" t="s">
        <v>11</v>
      </c>
    </row>
    <row r="1898" spans="1:3" x14ac:dyDescent="0.35">
      <c r="A1898" t="s">
        <v>18</v>
      </c>
      <c r="B1898" t="s">
        <v>130</v>
      </c>
    </row>
    <row r="1899" spans="1:3" x14ac:dyDescent="0.35">
      <c r="A1899" t="s">
        <v>64</v>
      </c>
      <c r="B1899" t="s">
        <v>18</v>
      </c>
    </row>
    <row r="1900" spans="1:3" x14ac:dyDescent="0.35">
      <c r="A1900" t="s">
        <v>56</v>
      </c>
      <c r="B1900" t="s">
        <v>57</v>
      </c>
      <c r="C1900" t="s">
        <v>99</v>
      </c>
    </row>
    <row r="1901" spans="1:3" x14ac:dyDescent="0.35">
      <c r="A1901" t="s">
        <v>115</v>
      </c>
      <c r="B1901" t="s">
        <v>11</v>
      </c>
    </row>
    <row r="1902" spans="1:3" x14ac:dyDescent="0.35">
      <c r="A1902" t="s">
        <v>3</v>
      </c>
      <c r="B1902" t="s">
        <v>117</v>
      </c>
    </row>
    <row r="1903" spans="1:3" x14ac:dyDescent="0.35">
      <c r="A1903" t="s">
        <v>11</v>
      </c>
    </row>
    <row r="1904" spans="1:3" x14ac:dyDescent="0.35">
      <c r="A1904" t="s">
        <v>100</v>
      </c>
      <c r="B1904" t="s">
        <v>101</v>
      </c>
      <c r="C1904" t="s">
        <v>102</v>
      </c>
    </row>
    <row r="1905" spans="1:5" x14ac:dyDescent="0.35">
      <c r="A1905" t="s">
        <v>3</v>
      </c>
    </row>
    <row r="1906" spans="1:5" x14ac:dyDescent="0.35">
      <c r="A1906" t="s">
        <v>4</v>
      </c>
    </row>
    <row r="1907" spans="1:5" x14ac:dyDescent="0.35">
      <c r="A1907" t="s">
        <v>12</v>
      </c>
    </row>
    <row r="1908" spans="1:5" x14ac:dyDescent="0.35">
      <c r="A1908" t="s">
        <v>1</v>
      </c>
    </row>
    <row r="1909" spans="1:5" x14ac:dyDescent="0.35">
      <c r="A1909" t="s">
        <v>10</v>
      </c>
    </row>
    <row r="1910" spans="1:5" x14ac:dyDescent="0.35">
      <c r="A1910" t="s">
        <v>1</v>
      </c>
      <c r="B1910" t="s">
        <v>87</v>
      </c>
      <c r="C1910" t="s">
        <v>131</v>
      </c>
    </row>
    <row r="1911" spans="1:5" x14ac:dyDescent="0.35">
      <c r="A1911" t="s">
        <v>50</v>
      </c>
      <c r="B1911" t="s">
        <v>51</v>
      </c>
      <c r="C1911" t="s">
        <v>52</v>
      </c>
      <c r="D1911" t="s">
        <v>63</v>
      </c>
    </row>
    <row r="1912" spans="1:5" x14ac:dyDescent="0.35">
      <c r="A1912" t="s">
        <v>148</v>
      </c>
      <c r="B1912" t="s">
        <v>18</v>
      </c>
    </row>
    <row r="1913" spans="1:5" x14ac:dyDescent="0.35">
      <c r="A1913" t="s">
        <v>11</v>
      </c>
      <c r="B1913" t="s">
        <v>107</v>
      </c>
    </row>
    <row r="1914" spans="1:5" x14ac:dyDescent="0.35">
      <c r="A1914" t="s">
        <v>64</v>
      </c>
      <c r="B1914" t="s">
        <v>66</v>
      </c>
      <c r="C1914" t="s">
        <v>18</v>
      </c>
      <c r="D1914" t="s">
        <v>67</v>
      </c>
      <c r="E1914" t="s">
        <v>68</v>
      </c>
    </row>
    <row r="1915" spans="1:5" x14ac:dyDescent="0.35">
      <c r="A1915" t="s">
        <v>3</v>
      </c>
    </row>
    <row r="1916" spans="1:5" x14ac:dyDescent="0.35">
      <c r="A1916" t="s">
        <v>24</v>
      </c>
    </row>
    <row r="1917" spans="1:5" x14ac:dyDescent="0.35">
      <c r="A1917" t="s">
        <v>11</v>
      </c>
      <c r="B1917" t="s">
        <v>107</v>
      </c>
    </row>
    <row r="1918" spans="1:5" x14ac:dyDescent="0.35">
      <c r="A1918" t="s">
        <v>56</v>
      </c>
      <c r="B1918" t="s">
        <v>57</v>
      </c>
    </row>
    <row r="1919" spans="1:5" x14ac:dyDescent="0.35">
      <c r="A1919" t="s">
        <v>12</v>
      </c>
    </row>
    <row r="1920" spans="1:5" x14ac:dyDescent="0.35">
      <c r="A1920" t="s">
        <v>7</v>
      </c>
    </row>
    <row r="1921" spans="1:5" x14ac:dyDescent="0.35">
      <c r="A1921" t="s">
        <v>17</v>
      </c>
    </row>
    <row r="1922" spans="1:5" x14ac:dyDescent="0.35">
      <c r="A1922" t="s">
        <v>12</v>
      </c>
    </row>
    <row r="1923" spans="1:5" x14ac:dyDescent="0.35">
      <c r="A1923" t="s">
        <v>17</v>
      </c>
    </row>
    <row r="1924" spans="1:5" x14ac:dyDescent="0.35">
      <c r="A1924" t="s">
        <v>56</v>
      </c>
      <c r="B1924" t="s">
        <v>57</v>
      </c>
      <c r="C1924" t="s">
        <v>171</v>
      </c>
      <c r="D1924" t="s">
        <v>172</v>
      </c>
      <c r="E1924" t="s">
        <v>173</v>
      </c>
    </row>
    <row r="1925" spans="1:5" x14ac:dyDescent="0.35">
      <c r="A1925" t="s">
        <v>18</v>
      </c>
      <c r="B1925" t="s">
        <v>160</v>
      </c>
    </row>
    <row r="1926" spans="1:5" x14ac:dyDescent="0.35">
      <c r="A1926" t="s">
        <v>7</v>
      </c>
    </row>
    <row r="1927" spans="1:5" x14ac:dyDescent="0.35">
      <c r="A1927" t="s">
        <v>109</v>
      </c>
      <c r="B1927" t="s">
        <v>110</v>
      </c>
      <c r="C1927" t="s">
        <v>111</v>
      </c>
    </row>
    <row r="1928" spans="1:5" x14ac:dyDescent="0.35">
      <c r="A1928" t="s">
        <v>126</v>
      </c>
      <c r="B1928" t="s">
        <v>127</v>
      </c>
    </row>
    <row r="1929" spans="1:5" x14ac:dyDescent="0.35">
      <c r="A1929" t="s">
        <v>17</v>
      </c>
    </row>
    <row r="1930" spans="1:5" x14ac:dyDescent="0.35">
      <c r="A1930" t="s">
        <v>18</v>
      </c>
      <c r="B1930" t="s">
        <v>130</v>
      </c>
    </row>
    <row r="1931" spans="1:5" x14ac:dyDescent="0.35">
      <c r="A1931" t="s">
        <v>56</v>
      </c>
      <c r="B1931" t="s">
        <v>57</v>
      </c>
    </row>
    <row r="1932" spans="1:5" x14ac:dyDescent="0.35">
      <c r="A1932" t="s">
        <v>17</v>
      </c>
    </row>
    <row r="1933" spans="1:5" x14ac:dyDescent="0.35">
      <c r="A1933" t="s">
        <v>1</v>
      </c>
    </row>
    <row r="1934" spans="1:5" x14ac:dyDescent="0.35">
      <c r="A1934" t="s">
        <v>50</v>
      </c>
      <c r="B1934" t="s">
        <v>51</v>
      </c>
      <c r="C1934" t="s">
        <v>52</v>
      </c>
      <c r="D1934" t="s">
        <v>63</v>
      </c>
    </row>
    <row r="1935" spans="1:5" x14ac:dyDescent="0.35">
      <c r="A1935" t="s">
        <v>1</v>
      </c>
    </row>
    <row r="1936" spans="1:5" x14ac:dyDescent="0.35">
      <c r="A1936" t="s">
        <v>7</v>
      </c>
    </row>
    <row r="1937" spans="1:7" x14ac:dyDescent="0.35">
      <c r="A1937" t="s">
        <v>64</v>
      </c>
      <c r="B1937" t="s">
        <v>65</v>
      </c>
      <c r="C1937" t="s">
        <v>66</v>
      </c>
      <c r="D1937" t="s">
        <v>18</v>
      </c>
      <c r="E1937" t="s">
        <v>67</v>
      </c>
      <c r="F1937" t="s">
        <v>68</v>
      </c>
    </row>
    <row r="1938" spans="1:7" x14ac:dyDescent="0.35">
      <c r="A1938" t="s">
        <v>105</v>
      </c>
      <c r="B1938" t="s">
        <v>137</v>
      </c>
      <c r="C1938" t="s">
        <v>11</v>
      </c>
    </row>
    <row r="1939" spans="1:7" x14ac:dyDescent="0.35">
      <c r="A1939" t="s">
        <v>1</v>
      </c>
    </row>
    <row r="1940" spans="1:7" x14ac:dyDescent="0.35">
      <c r="A1940" t="s">
        <v>56</v>
      </c>
      <c r="B1940" t="s">
        <v>57</v>
      </c>
    </row>
    <row r="1941" spans="1:7" x14ac:dyDescent="0.35">
      <c r="A1941" t="s">
        <v>10</v>
      </c>
    </row>
    <row r="1942" spans="1:7" x14ac:dyDescent="0.35">
      <c r="A1942" t="s">
        <v>64</v>
      </c>
      <c r="B1942" t="s">
        <v>65</v>
      </c>
      <c r="C1942" t="s">
        <v>66</v>
      </c>
      <c r="D1942" t="s">
        <v>18</v>
      </c>
      <c r="E1942" t="s">
        <v>129</v>
      </c>
      <c r="F1942" t="s">
        <v>67</v>
      </c>
      <c r="G1942" t="s">
        <v>68</v>
      </c>
    </row>
    <row r="1943" spans="1:7" x14ac:dyDescent="0.35">
      <c r="A1943" t="s">
        <v>108</v>
      </c>
      <c r="B1943" t="s">
        <v>11</v>
      </c>
    </row>
    <row r="1944" spans="1:7" x14ac:dyDescent="0.35">
      <c r="A1944" t="s">
        <v>12</v>
      </c>
    </row>
    <row r="1945" spans="1:7" x14ac:dyDescent="0.35">
      <c r="A1945" t="s">
        <v>3</v>
      </c>
    </row>
    <row r="1946" spans="1:7" x14ac:dyDescent="0.35">
      <c r="A1946" t="s">
        <v>2</v>
      </c>
    </row>
    <row r="1947" spans="1:7" x14ac:dyDescent="0.35">
      <c r="A1947" t="s">
        <v>96</v>
      </c>
      <c r="B1947" t="s">
        <v>18</v>
      </c>
    </row>
    <row r="1948" spans="1:7" x14ac:dyDescent="0.35">
      <c r="A1948" t="s">
        <v>1</v>
      </c>
    </row>
    <row r="1949" spans="1:7" x14ac:dyDescent="0.35">
      <c r="A1949" t="s">
        <v>64</v>
      </c>
      <c r="B1949" t="s">
        <v>205</v>
      </c>
      <c r="C1949" t="s">
        <v>66</v>
      </c>
      <c r="D1949" t="s">
        <v>18</v>
      </c>
      <c r="E1949" t="s">
        <v>67</v>
      </c>
      <c r="F1949" t="s">
        <v>68</v>
      </c>
    </row>
    <row r="1950" spans="1:7" x14ac:dyDescent="0.35">
      <c r="A1950" t="s">
        <v>96</v>
      </c>
      <c r="B1950" t="s">
        <v>18</v>
      </c>
    </row>
    <row r="1951" spans="1:7" x14ac:dyDescent="0.35">
      <c r="A1951" t="s">
        <v>100</v>
      </c>
      <c r="B1951" t="s">
        <v>101</v>
      </c>
      <c r="C1951" t="s">
        <v>102</v>
      </c>
    </row>
    <row r="1952" spans="1:7" x14ac:dyDescent="0.35">
      <c r="A1952" t="s">
        <v>151</v>
      </c>
      <c r="B1952" t="s">
        <v>152</v>
      </c>
      <c r="C1952" t="s">
        <v>153</v>
      </c>
    </row>
    <row r="1953" spans="1:6" x14ac:dyDescent="0.35">
      <c r="A1953" t="s">
        <v>50</v>
      </c>
      <c r="B1953" t="s">
        <v>51</v>
      </c>
      <c r="C1953" t="s">
        <v>52</v>
      </c>
    </row>
    <row r="1954" spans="1:6" x14ac:dyDescent="0.35">
      <c r="A1954" t="s">
        <v>7</v>
      </c>
    </row>
    <row r="1955" spans="1:6" x14ac:dyDescent="0.35">
      <c r="A1955" t="s">
        <v>1</v>
      </c>
    </row>
    <row r="1956" spans="1:6" x14ac:dyDescent="0.35">
      <c r="A1956" t="s">
        <v>64</v>
      </c>
      <c r="B1956" t="s">
        <v>65</v>
      </c>
      <c r="C1956" t="s">
        <v>66</v>
      </c>
      <c r="D1956" t="s">
        <v>18</v>
      </c>
      <c r="E1956" t="s">
        <v>67</v>
      </c>
      <c r="F1956" t="s">
        <v>68</v>
      </c>
    </row>
    <row r="1957" spans="1:6" x14ac:dyDescent="0.35">
      <c r="A1957" t="s">
        <v>159</v>
      </c>
      <c r="B1957" t="s">
        <v>11</v>
      </c>
    </row>
    <row r="1958" spans="1:6" x14ac:dyDescent="0.35">
      <c r="A1958" t="s">
        <v>7</v>
      </c>
    </row>
    <row r="1959" spans="1:6" x14ac:dyDescent="0.35">
      <c r="A1959" t="s">
        <v>64</v>
      </c>
      <c r="B1959" t="s">
        <v>18</v>
      </c>
    </row>
    <row r="1960" spans="1:6" x14ac:dyDescent="0.35">
      <c r="A1960" t="s">
        <v>50</v>
      </c>
      <c r="B1960" t="s">
        <v>51</v>
      </c>
      <c r="C1960" t="s">
        <v>52</v>
      </c>
    </row>
    <row r="1961" spans="1:6" x14ac:dyDescent="0.35">
      <c r="A1961" t="s">
        <v>64</v>
      </c>
      <c r="B1961" t="s">
        <v>66</v>
      </c>
      <c r="C1961" t="s">
        <v>18</v>
      </c>
      <c r="D1961" t="s">
        <v>67</v>
      </c>
      <c r="E1961" t="s">
        <v>68</v>
      </c>
    </row>
    <row r="1962" spans="1:6" x14ac:dyDescent="0.35">
      <c r="A1962" t="s">
        <v>64</v>
      </c>
      <c r="B1962" t="s">
        <v>65</v>
      </c>
      <c r="C1962" t="s">
        <v>66</v>
      </c>
      <c r="D1962" t="s">
        <v>18</v>
      </c>
      <c r="E1962" t="s">
        <v>67</v>
      </c>
      <c r="F1962" t="s">
        <v>68</v>
      </c>
    </row>
    <row r="1963" spans="1:6" x14ac:dyDescent="0.35">
      <c r="A1963" t="s">
        <v>50</v>
      </c>
      <c r="B1963" t="s">
        <v>51</v>
      </c>
      <c r="C1963" t="s">
        <v>52</v>
      </c>
    </row>
    <row r="1964" spans="1:6" x14ac:dyDescent="0.35">
      <c r="A1964" t="s">
        <v>10</v>
      </c>
    </row>
    <row r="1965" spans="1:6" x14ac:dyDescent="0.35">
      <c r="A1965" t="s">
        <v>6</v>
      </c>
    </row>
    <row r="1966" spans="1:6" x14ac:dyDescent="0.35">
      <c r="A1966" t="s">
        <v>96</v>
      </c>
      <c r="B1966" t="s">
        <v>18</v>
      </c>
    </row>
    <row r="1967" spans="1:6" x14ac:dyDescent="0.35">
      <c r="A1967" t="s">
        <v>8</v>
      </c>
    </row>
    <row r="1968" spans="1:6" x14ac:dyDescent="0.35">
      <c r="A1968" t="s">
        <v>100</v>
      </c>
      <c r="B1968" t="s">
        <v>101</v>
      </c>
      <c r="C1968" t="s">
        <v>102</v>
      </c>
    </row>
    <row r="1969" spans="1:6" x14ac:dyDescent="0.35">
      <c r="A1969" t="s">
        <v>165</v>
      </c>
      <c r="B1969" t="s">
        <v>1</v>
      </c>
    </row>
    <row r="1970" spans="1:6" x14ac:dyDescent="0.35">
      <c r="A1970" t="s">
        <v>96</v>
      </c>
      <c r="B1970" t="s">
        <v>18</v>
      </c>
    </row>
    <row r="1971" spans="1:6" x14ac:dyDescent="0.35">
      <c r="A1971" t="s">
        <v>64</v>
      </c>
      <c r="B1971" t="s">
        <v>65</v>
      </c>
      <c r="C1971" t="s">
        <v>66</v>
      </c>
      <c r="D1971" t="s">
        <v>18</v>
      </c>
      <c r="E1971" t="s">
        <v>67</v>
      </c>
      <c r="F1971" t="s">
        <v>68</v>
      </c>
    </row>
    <row r="1972" spans="1:6" x14ac:dyDescent="0.35">
      <c r="A1972" t="s">
        <v>26</v>
      </c>
    </row>
    <row r="1973" spans="1:6" x14ac:dyDescent="0.35">
      <c r="A1973" t="s">
        <v>50</v>
      </c>
      <c r="B1973" t="s">
        <v>51</v>
      </c>
      <c r="C1973" t="s">
        <v>52</v>
      </c>
    </row>
    <row r="1974" spans="1:6" x14ac:dyDescent="0.35">
      <c r="A1974" t="s">
        <v>12</v>
      </c>
    </row>
    <row r="1975" spans="1:6" x14ac:dyDescent="0.35">
      <c r="A1975" t="s">
        <v>7</v>
      </c>
    </row>
    <row r="1976" spans="1:6" x14ac:dyDescent="0.35">
      <c r="A1976" t="s">
        <v>4</v>
      </c>
    </row>
    <row r="1977" spans="1:6" x14ac:dyDescent="0.35">
      <c r="A1977" t="s">
        <v>12</v>
      </c>
    </row>
    <row r="1978" spans="1:6" x14ac:dyDescent="0.35">
      <c r="A1978" t="s">
        <v>108</v>
      </c>
      <c r="B1978" t="s">
        <v>11</v>
      </c>
    </row>
    <row r="1979" spans="1:6" x14ac:dyDescent="0.35">
      <c r="A1979" t="s">
        <v>3</v>
      </c>
    </row>
    <row r="1980" spans="1:6" x14ac:dyDescent="0.35">
      <c r="A1980" t="s">
        <v>96</v>
      </c>
      <c r="B1980" t="s">
        <v>18</v>
      </c>
    </row>
    <row r="1981" spans="1:6" x14ac:dyDescent="0.35">
      <c r="A1981" t="s">
        <v>4</v>
      </c>
    </row>
    <row r="1982" spans="1:6" x14ac:dyDescent="0.35">
      <c r="A1982" t="s">
        <v>1</v>
      </c>
    </row>
    <row r="1983" spans="1:6" x14ac:dyDescent="0.35">
      <c r="A1983" t="s">
        <v>1</v>
      </c>
    </row>
    <row r="1984" spans="1:6" x14ac:dyDescent="0.35">
      <c r="A1984" t="s">
        <v>64</v>
      </c>
      <c r="B1984" t="s">
        <v>65</v>
      </c>
      <c r="C1984" t="s">
        <v>66</v>
      </c>
      <c r="D1984" t="s">
        <v>18</v>
      </c>
      <c r="E1984" t="s">
        <v>67</v>
      </c>
      <c r="F1984" t="s">
        <v>68</v>
      </c>
    </row>
    <row r="1985" spans="1:6" x14ac:dyDescent="0.35">
      <c r="A1985" t="s">
        <v>109</v>
      </c>
      <c r="B1985" t="s">
        <v>110</v>
      </c>
      <c r="C1985" t="s">
        <v>111</v>
      </c>
    </row>
    <row r="1986" spans="1:6" x14ac:dyDescent="0.35">
      <c r="A1986" t="s">
        <v>81</v>
      </c>
      <c r="B1986" t="s">
        <v>11</v>
      </c>
    </row>
    <row r="1987" spans="1:6" x14ac:dyDescent="0.35">
      <c r="A1987" t="s">
        <v>162</v>
      </c>
      <c r="B1987" t="s">
        <v>163</v>
      </c>
      <c r="C1987" t="s">
        <v>164</v>
      </c>
      <c r="D1987" t="s">
        <v>124</v>
      </c>
    </row>
    <row r="1988" spans="1:6" x14ac:dyDescent="0.35">
      <c r="A1988" t="s">
        <v>17</v>
      </c>
    </row>
    <row r="1989" spans="1:6" x14ac:dyDescent="0.35">
      <c r="A1989" t="s">
        <v>1</v>
      </c>
    </row>
    <row r="1990" spans="1:6" x14ac:dyDescent="0.35">
      <c r="A1990" t="s">
        <v>8</v>
      </c>
    </row>
    <row r="1991" spans="1:6" x14ac:dyDescent="0.35">
      <c r="A1991" t="s">
        <v>50</v>
      </c>
      <c r="B1991" t="s">
        <v>51</v>
      </c>
      <c r="C1991" t="s">
        <v>52</v>
      </c>
    </row>
    <row r="1992" spans="1:6" x14ac:dyDescent="0.35">
      <c r="A1992" t="s">
        <v>148</v>
      </c>
      <c r="B1992" t="s">
        <v>18</v>
      </c>
    </row>
    <row r="1993" spans="1:6" x14ac:dyDescent="0.35">
      <c r="A1993" t="s">
        <v>12</v>
      </c>
    </row>
    <row r="1994" spans="1:6" x14ac:dyDescent="0.35">
      <c r="A1994" t="s">
        <v>11</v>
      </c>
    </row>
    <row r="1995" spans="1:6" x14ac:dyDescent="0.35">
      <c r="A1995" t="s">
        <v>18</v>
      </c>
      <c r="B1995" t="s">
        <v>130</v>
      </c>
    </row>
    <row r="1996" spans="1:6" x14ac:dyDescent="0.35">
      <c r="A1996" t="s">
        <v>64</v>
      </c>
      <c r="B1996" t="s">
        <v>66</v>
      </c>
      <c r="C1996" t="s">
        <v>18</v>
      </c>
      <c r="D1996" t="s">
        <v>67</v>
      </c>
      <c r="E1996" t="s">
        <v>68</v>
      </c>
    </row>
    <row r="1997" spans="1:6" x14ac:dyDescent="0.35">
      <c r="A1997" t="s">
        <v>93</v>
      </c>
      <c r="B1997" t="s">
        <v>50</v>
      </c>
      <c r="C1997" t="s">
        <v>51</v>
      </c>
      <c r="D1997" t="s">
        <v>52</v>
      </c>
    </row>
    <row r="1998" spans="1:6" x14ac:dyDescent="0.35">
      <c r="A1998" t="s">
        <v>8</v>
      </c>
    </row>
    <row r="1999" spans="1:6" x14ac:dyDescent="0.35">
      <c r="A1999" t="s">
        <v>64</v>
      </c>
      <c r="B1999" t="s">
        <v>65</v>
      </c>
      <c r="C1999" t="s">
        <v>66</v>
      </c>
      <c r="D1999" t="s">
        <v>18</v>
      </c>
      <c r="E1999" t="s">
        <v>67</v>
      </c>
      <c r="F1999" t="s">
        <v>68</v>
      </c>
    </row>
    <row r="2000" spans="1:6" x14ac:dyDescent="0.35">
      <c r="A2000" t="s">
        <v>34</v>
      </c>
    </row>
    <row r="2001" spans="1:9" x14ac:dyDescent="0.35">
      <c r="A2001" t="s">
        <v>96</v>
      </c>
      <c r="B2001" t="s">
        <v>18</v>
      </c>
    </row>
    <row r="2002" spans="1:9" x14ac:dyDescent="0.35">
      <c r="A2002" t="s">
        <v>50</v>
      </c>
      <c r="B2002" t="s">
        <v>51</v>
      </c>
      <c r="C2002" t="s">
        <v>52</v>
      </c>
      <c r="D2002" t="s">
        <v>63</v>
      </c>
    </row>
    <row r="2003" spans="1:9" x14ac:dyDescent="0.35">
      <c r="A2003" t="s">
        <v>50</v>
      </c>
      <c r="B2003" t="s">
        <v>51</v>
      </c>
      <c r="C2003" t="s">
        <v>52</v>
      </c>
    </row>
    <row r="2004" spans="1:9" x14ac:dyDescent="0.35">
      <c r="A2004" t="s">
        <v>50</v>
      </c>
      <c r="B2004" t="s">
        <v>51</v>
      </c>
      <c r="C2004" t="s">
        <v>52</v>
      </c>
    </row>
    <row r="2005" spans="1:9" x14ac:dyDescent="0.35">
      <c r="A2005" t="s">
        <v>138</v>
      </c>
      <c r="B2005" t="s">
        <v>139</v>
      </c>
      <c r="C2005" t="s">
        <v>140</v>
      </c>
      <c r="D2005" t="s">
        <v>141</v>
      </c>
      <c r="E2005" t="s">
        <v>142</v>
      </c>
      <c r="F2005" t="s">
        <v>124</v>
      </c>
      <c r="G2005" t="s">
        <v>143</v>
      </c>
      <c r="H2005" t="s">
        <v>206</v>
      </c>
      <c r="I2005" t="s">
        <v>145</v>
      </c>
    </row>
    <row r="2006" spans="1:9" x14ac:dyDescent="0.35">
      <c r="A2006" t="s">
        <v>50</v>
      </c>
      <c r="B2006" t="s">
        <v>51</v>
      </c>
      <c r="C2006" t="s">
        <v>52</v>
      </c>
      <c r="D2006" t="s">
        <v>63</v>
      </c>
    </row>
    <row r="2007" spans="1:9" x14ac:dyDescent="0.35">
      <c r="A2007" t="s">
        <v>50</v>
      </c>
      <c r="B2007" t="s">
        <v>51</v>
      </c>
      <c r="C2007" t="s">
        <v>52</v>
      </c>
      <c r="D2007" t="s">
        <v>63</v>
      </c>
    </row>
    <row r="2008" spans="1:9" x14ac:dyDescent="0.35">
      <c r="A2008" t="s">
        <v>7</v>
      </c>
    </row>
    <row r="2009" spans="1:9" x14ac:dyDescent="0.35">
      <c r="A2009" t="s">
        <v>11</v>
      </c>
    </row>
    <row r="2010" spans="1:9" x14ac:dyDescent="0.35">
      <c r="A2010" t="s">
        <v>7</v>
      </c>
    </row>
    <row r="2011" spans="1:9" x14ac:dyDescent="0.35">
      <c r="A2011" t="s">
        <v>50</v>
      </c>
      <c r="B2011" t="s">
        <v>51</v>
      </c>
      <c r="C2011" t="s">
        <v>52</v>
      </c>
    </row>
    <row r="2012" spans="1:9" x14ac:dyDescent="0.35">
      <c r="A2012" t="s">
        <v>17</v>
      </c>
    </row>
    <row r="2013" spans="1:9" x14ac:dyDescent="0.35">
      <c r="A2013" t="s">
        <v>3</v>
      </c>
    </row>
    <row r="2014" spans="1:9" x14ac:dyDescent="0.35">
      <c r="A2014" t="s">
        <v>81</v>
      </c>
      <c r="B2014" t="s">
        <v>11</v>
      </c>
    </row>
    <row r="2015" spans="1:9" x14ac:dyDescent="0.35">
      <c r="A2015" t="s">
        <v>3</v>
      </c>
    </row>
    <row r="2016" spans="1:9" x14ac:dyDescent="0.35">
      <c r="A2016" t="s">
        <v>11</v>
      </c>
    </row>
    <row r="2017" spans="1:7" x14ac:dyDescent="0.35">
      <c r="A2017" t="s">
        <v>18</v>
      </c>
      <c r="B2017" t="s">
        <v>160</v>
      </c>
    </row>
    <row r="2018" spans="1:7" x14ac:dyDescent="0.35">
      <c r="A2018" t="s">
        <v>50</v>
      </c>
      <c r="B2018" t="s">
        <v>51</v>
      </c>
      <c r="C2018" t="s">
        <v>52</v>
      </c>
      <c r="D2018" t="s">
        <v>63</v>
      </c>
    </row>
    <row r="2019" spans="1:7" x14ac:dyDescent="0.35">
      <c r="A2019" t="s">
        <v>12</v>
      </c>
    </row>
    <row r="2020" spans="1:7" x14ac:dyDescent="0.35">
      <c r="A2020" t="s">
        <v>81</v>
      </c>
      <c r="B2020" t="s">
        <v>11</v>
      </c>
    </row>
    <row r="2021" spans="1:7" x14ac:dyDescent="0.35">
      <c r="A2021" t="s">
        <v>100</v>
      </c>
      <c r="B2021" t="s">
        <v>101</v>
      </c>
      <c r="C2021" t="s">
        <v>102</v>
      </c>
    </row>
    <row r="2022" spans="1:7" x14ac:dyDescent="0.35">
      <c r="A2022" t="s">
        <v>50</v>
      </c>
      <c r="B2022" t="s">
        <v>51</v>
      </c>
      <c r="C2022" t="s">
        <v>52</v>
      </c>
      <c r="D2022" t="s">
        <v>63</v>
      </c>
    </row>
    <row r="2023" spans="1:7" x14ac:dyDescent="0.35">
      <c r="A2023" t="s">
        <v>50</v>
      </c>
      <c r="B2023" t="s">
        <v>51</v>
      </c>
      <c r="C2023" t="s">
        <v>52</v>
      </c>
    </row>
    <row r="2024" spans="1:7" x14ac:dyDescent="0.35">
      <c r="A2024" t="s">
        <v>96</v>
      </c>
      <c r="B2024" t="s">
        <v>18</v>
      </c>
    </row>
    <row r="2025" spans="1:7" x14ac:dyDescent="0.35">
      <c r="A2025" t="s">
        <v>32</v>
      </c>
    </row>
    <row r="2026" spans="1:7" x14ac:dyDescent="0.35">
      <c r="A2026" t="s">
        <v>81</v>
      </c>
      <c r="B2026" t="s">
        <v>11</v>
      </c>
    </row>
    <row r="2027" spans="1:7" x14ac:dyDescent="0.35">
      <c r="A2027" t="s">
        <v>6</v>
      </c>
    </row>
    <row r="2028" spans="1:7" x14ac:dyDescent="0.35">
      <c r="A2028" t="s">
        <v>64</v>
      </c>
      <c r="B2028" t="s">
        <v>65</v>
      </c>
      <c r="C2028" t="s">
        <v>66</v>
      </c>
      <c r="D2028" t="s">
        <v>18</v>
      </c>
      <c r="E2028" t="s">
        <v>67</v>
      </c>
      <c r="F2028" t="s">
        <v>68</v>
      </c>
    </row>
    <row r="2029" spans="1:7" x14ac:dyDescent="0.35">
      <c r="A2029" t="s">
        <v>1</v>
      </c>
    </row>
    <row r="2030" spans="1:7" x14ac:dyDescent="0.35">
      <c r="A2030" t="s">
        <v>12</v>
      </c>
    </row>
    <row r="2031" spans="1:7" x14ac:dyDescent="0.35">
      <c r="A2031" t="s">
        <v>93</v>
      </c>
      <c r="B2031" t="s">
        <v>50</v>
      </c>
      <c r="C2031" t="s">
        <v>51</v>
      </c>
      <c r="D2031" t="s">
        <v>52</v>
      </c>
      <c r="E2031" t="s">
        <v>94</v>
      </c>
      <c r="F2031" t="s">
        <v>77</v>
      </c>
      <c r="G2031" t="s">
        <v>95</v>
      </c>
    </row>
    <row r="2032" spans="1:7" x14ac:dyDescent="0.35">
      <c r="A2032" t="s">
        <v>56</v>
      </c>
      <c r="B2032" t="s">
        <v>57</v>
      </c>
    </row>
    <row r="2033" spans="1:6" x14ac:dyDescent="0.35">
      <c r="A2033" t="s">
        <v>162</v>
      </c>
      <c r="B2033" t="s">
        <v>124</v>
      </c>
    </row>
    <row r="2034" spans="1:6" x14ac:dyDescent="0.35">
      <c r="A2034" t="s">
        <v>100</v>
      </c>
      <c r="B2034" t="s">
        <v>101</v>
      </c>
      <c r="C2034" t="s">
        <v>102</v>
      </c>
    </row>
    <row r="2035" spans="1:6" x14ac:dyDescent="0.35">
      <c r="A2035" t="s">
        <v>29</v>
      </c>
      <c r="B2035" t="s">
        <v>207</v>
      </c>
      <c r="C2035" t="s">
        <v>167</v>
      </c>
      <c r="D2035" t="s">
        <v>208</v>
      </c>
      <c r="E2035" t="s">
        <v>168</v>
      </c>
      <c r="F2035" t="s">
        <v>209</v>
      </c>
    </row>
    <row r="2036" spans="1:6" x14ac:dyDescent="0.35">
      <c r="A2036" t="s">
        <v>1</v>
      </c>
    </row>
    <row r="2037" spans="1:6" x14ac:dyDescent="0.35">
      <c r="A2037" t="s">
        <v>81</v>
      </c>
      <c r="B2037" t="s">
        <v>11</v>
      </c>
    </row>
    <row r="2038" spans="1:6" x14ac:dyDescent="0.35">
      <c r="A2038" t="s">
        <v>3</v>
      </c>
    </row>
    <row r="2039" spans="1:6" x14ac:dyDescent="0.35">
      <c r="A2039" t="s">
        <v>1</v>
      </c>
      <c r="B2039" t="s">
        <v>87</v>
      </c>
      <c r="C2039" t="s">
        <v>131</v>
      </c>
    </row>
    <row r="2040" spans="1:6" x14ac:dyDescent="0.35">
      <c r="A2040" t="s">
        <v>18</v>
      </c>
      <c r="B2040" t="s">
        <v>130</v>
      </c>
    </row>
    <row r="2041" spans="1:6" x14ac:dyDescent="0.35">
      <c r="A2041" t="s">
        <v>18</v>
      </c>
      <c r="B2041" t="s">
        <v>160</v>
      </c>
    </row>
    <row r="2042" spans="1:6" x14ac:dyDescent="0.35">
      <c r="A2042" t="s">
        <v>5</v>
      </c>
    </row>
    <row r="2043" spans="1:6" x14ac:dyDescent="0.35">
      <c r="A2043" t="s">
        <v>17</v>
      </c>
    </row>
    <row r="2044" spans="1:6" x14ac:dyDescent="0.35">
      <c r="A2044" t="s">
        <v>96</v>
      </c>
      <c r="B2044" t="s">
        <v>18</v>
      </c>
    </row>
    <row r="2045" spans="1:6" x14ac:dyDescent="0.35">
      <c r="A2045" t="s">
        <v>17</v>
      </c>
    </row>
    <row r="2046" spans="1:6" x14ac:dyDescent="0.35">
      <c r="A2046" t="s">
        <v>96</v>
      </c>
      <c r="B2046" t="s">
        <v>18</v>
      </c>
    </row>
    <row r="2047" spans="1:6" x14ac:dyDescent="0.35">
      <c r="A2047" t="s">
        <v>151</v>
      </c>
      <c r="B2047" t="s">
        <v>152</v>
      </c>
      <c r="C2047" t="s">
        <v>153</v>
      </c>
    </row>
    <row r="2048" spans="1:6" x14ac:dyDescent="0.35">
      <c r="A2048" t="s">
        <v>18</v>
      </c>
      <c r="B2048" t="s">
        <v>130</v>
      </c>
    </row>
    <row r="2049" spans="1:8" x14ac:dyDescent="0.35">
      <c r="A2049" t="s">
        <v>50</v>
      </c>
      <c r="B2049" t="s">
        <v>51</v>
      </c>
      <c r="C2049" t="s">
        <v>52</v>
      </c>
    </row>
    <row r="2050" spans="1:8" x14ac:dyDescent="0.35">
      <c r="A2050" t="s">
        <v>50</v>
      </c>
      <c r="B2050" t="s">
        <v>51</v>
      </c>
      <c r="C2050" t="s">
        <v>52</v>
      </c>
      <c r="D2050" t="s">
        <v>89</v>
      </c>
      <c r="E2050" t="s">
        <v>72</v>
      </c>
      <c r="F2050" t="s">
        <v>73</v>
      </c>
    </row>
    <row r="2051" spans="1:8" x14ac:dyDescent="0.35">
      <c r="A2051" t="s">
        <v>18</v>
      </c>
      <c r="B2051" t="s">
        <v>160</v>
      </c>
    </row>
    <row r="2052" spans="1:8" x14ac:dyDescent="0.35">
      <c r="A2052" t="s">
        <v>155</v>
      </c>
      <c r="B2052" t="s">
        <v>156</v>
      </c>
      <c r="C2052" t="s">
        <v>157</v>
      </c>
    </row>
    <row r="2053" spans="1:8" x14ac:dyDescent="0.35">
      <c r="A2053" t="s">
        <v>64</v>
      </c>
      <c r="B2053" t="s">
        <v>66</v>
      </c>
      <c r="C2053" t="s">
        <v>18</v>
      </c>
      <c r="D2053" t="s">
        <v>67</v>
      </c>
      <c r="E2053" t="s">
        <v>68</v>
      </c>
    </row>
    <row r="2054" spans="1:8" x14ac:dyDescent="0.35">
      <c r="A2054" t="s">
        <v>93</v>
      </c>
      <c r="B2054" t="s">
        <v>50</v>
      </c>
      <c r="C2054" t="s">
        <v>51</v>
      </c>
      <c r="D2054" t="s">
        <v>52</v>
      </c>
      <c r="E2054" t="s">
        <v>94</v>
      </c>
      <c r="F2054" t="s">
        <v>77</v>
      </c>
      <c r="G2054" t="s">
        <v>95</v>
      </c>
    </row>
    <row r="2055" spans="1:8" x14ac:dyDescent="0.35">
      <c r="A2055" t="s">
        <v>138</v>
      </c>
      <c r="B2055" t="s">
        <v>210</v>
      </c>
      <c r="C2055" t="s">
        <v>139</v>
      </c>
      <c r="D2055" t="s">
        <v>140</v>
      </c>
      <c r="E2055" t="s">
        <v>141</v>
      </c>
      <c r="F2055" t="s">
        <v>142</v>
      </c>
      <c r="G2055" t="s">
        <v>124</v>
      </c>
      <c r="H2055" t="s">
        <v>211</v>
      </c>
    </row>
    <row r="2056" spans="1:8" x14ac:dyDescent="0.35">
      <c r="A2056" t="s">
        <v>64</v>
      </c>
      <c r="B2056" t="s">
        <v>66</v>
      </c>
      <c r="C2056" t="s">
        <v>18</v>
      </c>
      <c r="D2056" t="s">
        <v>67</v>
      </c>
      <c r="E2056" t="s">
        <v>68</v>
      </c>
    </row>
    <row r="2057" spans="1:8" x14ac:dyDescent="0.35">
      <c r="A2057" t="s">
        <v>3</v>
      </c>
    </row>
    <row r="2058" spans="1:8" x14ac:dyDescent="0.35">
      <c r="A2058" t="s">
        <v>64</v>
      </c>
      <c r="B2058" t="s">
        <v>65</v>
      </c>
      <c r="C2058" t="s">
        <v>158</v>
      </c>
      <c r="D2058" t="s">
        <v>66</v>
      </c>
      <c r="E2058" t="s">
        <v>18</v>
      </c>
      <c r="F2058" t="s">
        <v>67</v>
      </c>
      <c r="G2058" t="s">
        <v>68</v>
      </c>
    </row>
    <row r="2059" spans="1:8" x14ac:dyDescent="0.35">
      <c r="A2059" t="s">
        <v>50</v>
      </c>
      <c r="B2059" t="s">
        <v>51</v>
      </c>
      <c r="C2059" t="s">
        <v>52</v>
      </c>
      <c r="D2059" t="s">
        <v>63</v>
      </c>
    </row>
    <row r="2060" spans="1:8" x14ac:dyDescent="0.35">
      <c r="A2060" t="s">
        <v>17</v>
      </c>
    </row>
    <row r="2061" spans="1:8" x14ac:dyDescent="0.35">
      <c r="A2061" t="s">
        <v>64</v>
      </c>
      <c r="B2061" t="s">
        <v>18</v>
      </c>
    </row>
    <row r="2062" spans="1:8" x14ac:dyDescent="0.35">
      <c r="A2062" t="s">
        <v>50</v>
      </c>
      <c r="B2062" t="s">
        <v>51</v>
      </c>
      <c r="C2062" t="s">
        <v>52</v>
      </c>
      <c r="D2062" t="s">
        <v>112</v>
      </c>
    </row>
    <row r="2063" spans="1:8" x14ac:dyDescent="0.35">
      <c r="A2063" t="s">
        <v>50</v>
      </c>
      <c r="B2063" t="s">
        <v>51</v>
      </c>
      <c r="C2063" t="s">
        <v>52</v>
      </c>
      <c r="D2063" t="s">
        <v>72</v>
      </c>
      <c r="E2063" t="s">
        <v>73</v>
      </c>
      <c r="F2063" t="s">
        <v>113</v>
      </c>
    </row>
    <row r="2064" spans="1:8" x14ac:dyDescent="0.35">
      <c r="A2064" t="s">
        <v>115</v>
      </c>
      <c r="B2064" t="s">
        <v>11</v>
      </c>
    </row>
    <row r="2065" spans="1:5" x14ac:dyDescent="0.35">
      <c r="A2065" t="s">
        <v>24</v>
      </c>
    </row>
    <row r="2066" spans="1:5" x14ac:dyDescent="0.35">
      <c r="A2066" t="s">
        <v>12</v>
      </c>
    </row>
    <row r="2067" spans="1:5" x14ac:dyDescent="0.35">
      <c r="A2067" t="s">
        <v>50</v>
      </c>
      <c r="B2067" t="s">
        <v>51</v>
      </c>
      <c r="C2067" t="s">
        <v>52</v>
      </c>
      <c r="D2067" t="s">
        <v>63</v>
      </c>
    </row>
    <row r="2068" spans="1:5" x14ac:dyDescent="0.35">
      <c r="A2068" t="s">
        <v>12</v>
      </c>
    </row>
    <row r="2069" spans="1:5" x14ac:dyDescent="0.35">
      <c r="A2069" t="s">
        <v>10</v>
      </c>
    </row>
    <row r="2070" spans="1:5" x14ac:dyDescent="0.35">
      <c r="A2070" t="s">
        <v>3</v>
      </c>
    </row>
    <row r="2071" spans="1:5" x14ac:dyDescent="0.35">
      <c r="A2071" t="s">
        <v>109</v>
      </c>
      <c r="B2071" t="s">
        <v>110</v>
      </c>
      <c r="C2071" t="s">
        <v>111</v>
      </c>
    </row>
    <row r="2072" spans="1:5" x14ac:dyDescent="0.35">
      <c r="A2072" t="s">
        <v>15</v>
      </c>
    </row>
    <row r="2073" spans="1:5" x14ac:dyDescent="0.35">
      <c r="A2073" t="s">
        <v>9</v>
      </c>
    </row>
    <row r="2074" spans="1:5" x14ac:dyDescent="0.35">
      <c r="A2074" t="s">
        <v>64</v>
      </c>
      <c r="B2074" t="s">
        <v>66</v>
      </c>
      <c r="C2074" t="s">
        <v>18</v>
      </c>
      <c r="D2074" t="s">
        <v>67</v>
      </c>
      <c r="E2074" t="s">
        <v>68</v>
      </c>
    </row>
    <row r="2075" spans="1:5" x14ac:dyDescent="0.35">
      <c r="A2075" t="s">
        <v>56</v>
      </c>
      <c r="B2075" t="s">
        <v>57</v>
      </c>
    </row>
    <row r="2076" spans="1:5" x14ac:dyDescent="0.35">
      <c r="A2076" t="s">
        <v>26</v>
      </c>
    </row>
    <row r="2077" spans="1:5" x14ac:dyDescent="0.35">
      <c r="A2077" t="s">
        <v>15</v>
      </c>
    </row>
    <row r="2078" spans="1:5" x14ac:dyDescent="0.35">
      <c r="A2078" t="s">
        <v>1</v>
      </c>
      <c r="B2078" t="s">
        <v>87</v>
      </c>
      <c r="C2078" t="s">
        <v>192</v>
      </c>
    </row>
    <row r="2079" spans="1:5" x14ac:dyDescent="0.35">
      <c r="A2079" t="s">
        <v>7</v>
      </c>
    </row>
    <row r="2080" spans="1:5" x14ac:dyDescent="0.35">
      <c r="A2080" t="s">
        <v>1</v>
      </c>
    </row>
    <row r="2081" spans="1:9" x14ac:dyDescent="0.35">
      <c r="A2081" t="s">
        <v>12</v>
      </c>
    </row>
    <row r="2082" spans="1:9" x14ac:dyDescent="0.35">
      <c r="A2082" t="s">
        <v>81</v>
      </c>
      <c r="B2082" t="s">
        <v>11</v>
      </c>
    </row>
    <row r="2083" spans="1:9" x14ac:dyDescent="0.35">
      <c r="A2083" t="s">
        <v>50</v>
      </c>
      <c r="B2083" t="s">
        <v>51</v>
      </c>
      <c r="C2083" t="s">
        <v>52</v>
      </c>
      <c r="D2083" t="s">
        <v>63</v>
      </c>
    </row>
    <row r="2084" spans="1:9" x14ac:dyDescent="0.35">
      <c r="A2084" t="s">
        <v>18</v>
      </c>
      <c r="B2084" t="s">
        <v>130</v>
      </c>
    </row>
    <row r="2085" spans="1:9" x14ac:dyDescent="0.35">
      <c r="A2085" t="s">
        <v>138</v>
      </c>
      <c r="B2085" t="s">
        <v>202</v>
      </c>
      <c r="C2085" t="s">
        <v>139</v>
      </c>
      <c r="D2085" t="s">
        <v>140</v>
      </c>
      <c r="E2085" t="s">
        <v>141</v>
      </c>
      <c r="F2085" t="s">
        <v>142</v>
      </c>
      <c r="G2085" t="s">
        <v>124</v>
      </c>
    </row>
    <row r="2086" spans="1:9" x14ac:dyDescent="0.35">
      <c r="A2086" t="s">
        <v>4</v>
      </c>
    </row>
    <row r="2087" spans="1:9" x14ac:dyDescent="0.35">
      <c r="A2087" t="s">
        <v>7</v>
      </c>
    </row>
    <row r="2088" spans="1:9" x14ac:dyDescent="0.35">
      <c r="A2088" t="s">
        <v>1</v>
      </c>
      <c r="B2088" t="s">
        <v>87</v>
      </c>
      <c r="C2088" t="s">
        <v>192</v>
      </c>
    </row>
    <row r="2089" spans="1:9" x14ac:dyDescent="0.35">
      <c r="A2089" t="s">
        <v>123</v>
      </c>
      <c r="B2089" t="s">
        <v>124</v>
      </c>
      <c r="C2089" t="s">
        <v>125</v>
      </c>
    </row>
    <row r="2090" spans="1:9" x14ac:dyDescent="0.35">
      <c r="A2090" t="s">
        <v>138</v>
      </c>
      <c r="B2090" t="s">
        <v>139</v>
      </c>
      <c r="C2090" t="s">
        <v>140</v>
      </c>
      <c r="D2090" t="s">
        <v>141</v>
      </c>
      <c r="E2090" t="s">
        <v>142</v>
      </c>
      <c r="F2090" t="s">
        <v>124</v>
      </c>
      <c r="G2090" t="s">
        <v>143</v>
      </c>
      <c r="H2090" t="s">
        <v>212</v>
      </c>
      <c r="I2090" t="s">
        <v>145</v>
      </c>
    </row>
    <row r="2091" spans="1:9" x14ac:dyDescent="0.35">
      <c r="A2091" t="s">
        <v>151</v>
      </c>
      <c r="B2091" t="s">
        <v>152</v>
      </c>
      <c r="C2091" t="s">
        <v>153</v>
      </c>
    </row>
    <row r="2092" spans="1:9" x14ac:dyDescent="0.35">
      <c r="A2092" t="s">
        <v>13</v>
      </c>
    </row>
    <row r="2093" spans="1:9" x14ac:dyDescent="0.35">
      <c r="A2093" t="s">
        <v>64</v>
      </c>
      <c r="B2093" t="s">
        <v>66</v>
      </c>
      <c r="C2093" t="s">
        <v>18</v>
      </c>
      <c r="D2093" t="s">
        <v>67</v>
      </c>
      <c r="E2093" t="s">
        <v>68</v>
      </c>
    </row>
    <row r="2094" spans="1:9" x14ac:dyDescent="0.35">
      <c r="A2094" t="s">
        <v>1</v>
      </c>
    </row>
    <row r="2095" spans="1:9" x14ac:dyDescent="0.35">
      <c r="A2095" t="s">
        <v>50</v>
      </c>
      <c r="B2095" t="s">
        <v>51</v>
      </c>
      <c r="C2095" t="s">
        <v>52</v>
      </c>
    </row>
    <row r="2096" spans="1:9" x14ac:dyDescent="0.35">
      <c r="A2096" t="s">
        <v>151</v>
      </c>
      <c r="B2096" t="s">
        <v>152</v>
      </c>
      <c r="C2096" t="s">
        <v>153</v>
      </c>
    </row>
    <row r="2097" spans="1:6" x14ac:dyDescent="0.35">
      <c r="A2097" t="s">
        <v>12</v>
      </c>
    </row>
    <row r="2098" spans="1:6" x14ac:dyDescent="0.35">
      <c r="A2098" t="s">
        <v>18</v>
      </c>
    </row>
    <row r="2099" spans="1:6" x14ac:dyDescent="0.35">
      <c r="A2099" t="s">
        <v>50</v>
      </c>
      <c r="B2099" t="s">
        <v>51</v>
      </c>
      <c r="C2099" t="s">
        <v>52</v>
      </c>
      <c r="D2099" t="s">
        <v>63</v>
      </c>
    </row>
    <row r="2100" spans="1:6" x14ac:dyDescent="0.35">
      <c r="A2100" t="s">
        <v>35</v>
      </c>
    </row>
    <row r="2101" spans="1:6" x14ac:dyDescent="0.35">
      <c r="A2101" t="s">
        <v>3</v>
      </c>
    </row>
    <row r="2102" spans="1:6" x14ac:dyDescent="0.35">
      <c r="A2102" t="s">
        <v>50</v>
      </c>
      <c r="B2102" t="s">
        <v>51</v>
      </c>
      <c r="C2102" t="s">
        <v>52</v>
      </c>
      <c r="D2102" t="s">
        <v>60</v>
      </c>
      <c r="E2102" t="s">
        <v>61</v>
      </c>
      <c r="F2102" t="s">
        <v>76</v>
      </c>
    </row>
    <row r="2103" spans="1:6" x14ac:dyDescent="0.35">
      <c r="A2103" t="s">
        <v>155</v>
      </c>
      <c r="B2103" t="s">
        <v>156</v>
      </c>
      <c r="C2103" t="s">
        <v>157</v>
      </c>
    </row>
    <row r="2104" spans="1:6" x14ac:dyDescent="0.35">
      <c r="A2104" t="s">
        <v>50</v>
      </c>
      <c r="B2104" t="s">
        <v>51</v>
      </c>
      <c r="C2104" t="s">
        <v>52</v>
      </c>
      <c r="D2104" t="s">
        <v>60</v>
      </c>
      <c r="E2104" t="s">
        <v>61</v>
      </c>
    </row>
    <row r="2105" spans="1:6" x14ac:dyDescent="0.35">
      <c r="A2105" t="s">
        <v>11</v>
      </c>
    </row>
    <row r="2106" spans="1:6" x14ac:dyDescent="0.35">
      <c r="A2106" t="s">
        <v>64</v>
      </c>
      <c r="B2106" t="s">
        <v>65</v>
      </c>
      <c r="C2106" t="s">
        <v>66</v>
      </c>
      <c r="D2106" t="s">
        <v>18</v>
      </c>
      <c r="E2106" t="s">
        <v>67</v>
      </c>
      <c r="F2106" t="s">
        <v>68</v>
      </c>
    </row>
    <row r="2107" spans="1:6" x14ac:dyDescent="0.35">
      <c r="A2107" t="s">
        <v>17</v>
      </c>
    </row>
    <row r="2108" spans="1:6" x14ac:dyDescent="0.35">
      <c r="A2108" t="s">
        <v>100</v>
      </c>
      <c r="B2108" t="s">
        <v>101</v>
      </c>
      <c r="C2108" t="s">
        <v>102</v>
      </c>
    </row>
    <row r="2109" spans="1:6" x14ac:dyDescent="0.35">
      <c r="A2109" t="s">
        <v>1</v>
      </c>
      <c r="B2109" t="s">
        <v>87</v>
      </c>
    </row>
    <row r="2110" spans="1:6" x14ac:dyDescent="0.35">
      <c r="A2110" t="s">
        <v>18</v>
      </c>
    </row>
    <row r="2111" spans="1:6" x14ac:dyDescent="0.35">
      <c r="A2111" t="s">
        <v>100</v>
      </c>
      <c r="B2111" t="s">
        <v>101</v>
      </c>
      <c r="C2111" t="s">
        <v>102</v>
      </c>
    </row>
    <row r="2112" spans="1:6" x14ac:dyDescent="0.35">
      <c r="A2112" t="s">
        <v>50</v>
      </c>
      <c r="B2112" t="s">
        <v>51</v>
      </c>
      <c r="C2112" t="s">
        <v>52</v>
      </c>
      <c r="D2112" t="s">
        <v>59</v>
      </c>
    </row>
    <row r="2113" spans="1:7" x14ac:dyDescent="0.35">
      <c r="A2113" t="s">
        <v>12</v>
      </c>
    </row>
    <row r="2114" spans="1:7" x14ac:dyDescent="0.35">
      <c r="A2114" t="s">
        <v>50</v>
      </c>
      <c r="B2114" t="s">
        <v>51</v>
      </c>
      <c r="C2114" t="s">
        <v>52</v>
      </c>
      <c r="D2114" t="s">
        <v>63</v>
      </c>
    </row>
    <row r="2115" spans="1:7" x14ac:dyDescent="0.35">
      <c r="A2115" t="s">
        <v>50</v>
      </c>
      <c r="B2115" t="s">
        <v>51</v>
      </c>
      <c r="C2115" t="s">
        <v>52</v>
      </c>
      <c r="D2115" t="s">
        <v>63</v>
      </c>
    </row>
    <row r="2116" spans="1:7" x14ac:dyDescent="0.35">
      <c r="A2116" t="s">
        <v>139</v>
      </c>
      <c r="B2116" t="s">
        <v>140</v>
      </c>
      <c r="C2116" t="s">
        <v>141</v>
      </c>
      <c r="D2116" t="s">
        <v>142</v>
      </c>
      <c r="E2116" t="s">
        <v>124</v>
      </c>
    </row>
    <row r="2117" spans="1:7" x14ac:dyDescent="0.35">
      <c r="A2117" t="s">
        <v>50</v>
      </c>
      <c r="B2117" t="s">
        <v>51</v>
      </c>
      <c r="C2117" t="s">
        <v>52</v>
      </c>
      <c r="D2117" t="s">
        <v>63</v>
      </c>
    </row>
    <row r="2118" spans="1:7" x14ac:dyDescent="0.35">
      <c r="A2118" t="s">
        <v>50</v>
      </c>
      <c r="B2118" t="s">
        <v>51</v>
      </c>
      <c r="C2118" t="s">
        <v>52</v>
      </c>
      <c r="D2118" t="s">
        <v>60</v>
      </c>
      <c r="E2118" t="s">
        <v>61</v>
      </c>
    </row>
    <row r="2119" spans="1:7" x14ac:dyDescent="0.35">
      <c r="A2119" t="s">
        <v>96</v>
      </c>
      <c r="B2119" t="s">
        <v>66</v>
      </c>
      <c r="C2119" t="s">
        <v>18</v>
      </c>
      <c r="D2119" t="s">
        <v>67</v>
      </c>
      <c r="E2119" t="s">
        <v>68</v>
      </c>
    </row>
    <row r="2120" spans="1:7" x14ac:dyDescent="0.35">
      <c r="A2120" t="s">
        <v>126</v>
      </c>
      <c r="B2120" t="s">
        <v>127</v>
      </c>
    </row>
    <row r="2121" spans="1:7" x14ac:dyDescent="0.35">
      <c r="A2121" t="s">
        <v>18</v>
      </c>
    </row>
    <row r="2122" spans="1:7" x14ac:dyDescent="0.35">
      <c r="A2122" t="s">
        <v>50</v>
      </c>
      <c r="B2122" t="s">
        <v>51</v>
      </c>
      <c r="C2122" t="s">
        <v>52</v>
      </c>
      <c r="D2122" t="s">
        <v>77</v>
      </c>
      <c r="E2122" t="s">
        <v>78</v>
      </c>
    </row>
    <row r="2123" spans="1:7" x14ac:dyDescent="0.35">
      <c r="A2123" t="s">
        <v>1</v>
      </c>
      <c r="B2123" t="s">
        <v>87</v>
      </c>
      <c r="C2123" t="s">
        <v>194</v>
      </c>
    </row>
    <row r="2124" spans="1:7" x14ac:dyDescent="0.35">
      <c r="A2124" t="s">
        <v>151</v>
      </c>
      <c r="B2124" t="s">
        <v>152</v>
      </c>
      <c r="C2124" t="s">
        <v>153</v>
      </c>
    </row>
    <row r="2125" spans="1:7" x14ac:dyDescent="0.35">
      <c r="A2125" t="s">
        <v>18</v>
      </c>
      <c r="B2125" t="s">
        <v>160</v>
      </c>
      <c r="C2125" t="s">
        <v>213</v>
      </c>
    </row>
    <row r="2126" spans="1:7" x14ac:dyDescent="0.35">
      <c r="A2126" t="s">
        <v>93</v>
      </c>
      <c r="B2126" t="s">
        <v>50</v>
      </c>
      <c r="C2126" t="s">
        <v>51</v>
      </c>
      <c r="D2126" t="s">
        <v>52</v>
      </c>
      <c r="E2126" t="s">
        <v>94</v>
      </c>
      <c r="F2126" t="s">
        <v>77</v>
      </c>
      <c r="G2126" t="s">
        <v>95</v>
      </c>
    </row>
    <row r="2127" spans="1:7" x14ac:dyDescent="0.35">
      <c r="A2127" t="s">
        <v>18</v>
      </c>
      <c r="B2127" t="s">
        <v>130</v>
      </c>
    </row>
    <row r="2128" spans="1:7" x14ac:dyDescent="0.35">
      <c r="A2128" t="s">
        <v>50</v>
      </c>
      <c r="B2128" t="s">
        <v>51</v>
      </c>
      <c r="C2128" t="s">
        <v>52</v>
      </c>
      <c r="D2128" t="s">
        <v>63</v>
      </c>
    </row>
    <row r="2129" spans="1:7" x14ac:dyDescent="0.35">
      <c r="A2129" t="s">
        <v>93</v>
      </c>
      <c r="B2129" t="s">
        <v>50</v>
      </c>
      <c r="C2129" t="s">
        <v>51</v>
      </c>
      <c r="D2129" t="s">
        <v>52</v>
      </c>
      <c r="E2129" t="s">
        <v>94</v>
      </c>
      <c r="F2129" t="s">
        <v>77</v>
      </c>
      <c r="G2129" t="s">
        <v>95</v>
      </c>
    </row>
    <row r="2130" spans="1:7" x14ac:dyDescent="0.35">
      <c r="A2130" t="s">
        <v>96</v>
      </c>
      <c r="B2130" t="s">
        <v>18</v>
      </c>
    </row>
    <row r="2131" spans="1:7" x14ac:dyDescent="0.35">
      <c r="A2131" t="s">
        <v>7</v>
      </c>
    </row>
    <row r="2132" spans="1:7" x14ac:dyDescent="0.35">
      <c r="A2132" t="s">
        <v>50</v>
      </c>
      <c r="B2132" t="s">
        <v>51</v>
      </c>
      <c r="C2132" t="s">
        <v>52</v>
      </c>
    </row>
    <row r="2133" spans="1:7" x14ac:dyDescent="0.35">
      <c r="A2133" t="s">
        <v>50</v>
      </c>
      <c r="B2133" t="s">
        <v>51</v>
      </c>
      <c r="C2133" t="s">
        <v>52</v>
      </c>
      <c r="D2133" t="s">
        <v>60</v>
      </c>
      <c r="E2133" t="s">
        <v>106</v>
      </c>
      <c r="F2133" t="s">
        <v>61</v>
      </c>
    </row>
    <row r="2134" spans="1:7" x14ac:dyDescent="0.35">
      <c r="A2134" t="s">
        <v>81</v>
      </c>
      <c r="B2134" t="s">
        <v>11</v>
      </c>
    </row>
    <row r="2135" spans="1:7" x14ac:dyDescent="0.35">
      <c r="A2135" t="s">
        <v>20</v>
      </c>
    </row>
    <row r="2136" spans="1:7" x14ac:dyDescent="0.35">
      <c r="A2136" t="s">
        <v>56</v>
      </c>
      <c r="B2136" t="s">
        <v>57</v>
      </c>
    </row>
    <row r="2137" spans="1:7" x14ac:dyDescent="0.35">
      <c r="A2137" t="s">
        <v>56</v>
      </c>
      <c r="B2137" t="s">
        <v>57</v>
      </c>
      <c r="C2137" t="s">
        <v>171</v>
      </c>
      <c r="D2137" t="s">
        <v>172</v>
      </c>
      <c r="E2137" t="s">
        <v>173</v>
      </c>
    </row>
    <row r="2138" spans="1:7" x14ac:dyDescent="0.35">
      <c r="A2138" t="s">
        <v>50</v>
      </c>
      <c r="B2138" t="s">
        <v>51</v>
      </c>
      <c r="C2138" t="s">
        <v>52</v>
      </c>
      <c r="D2138" t="s">
        <v>92</v>
      </c>
    </row>
    <row r="2139" spans="1:7" x14ac:dyDescent="0.35">
      <c r="A2139" t="s">
        <v>93</v>
      </c>
      <c r="B2139" t="s">
        <v>50</v>
      </c>
      <c r="C2139" t="s">
        <v>51</v>
      </c>
      <c r="D2139" t="s">
        <v>52</v>
      </c>
      <c r="E2139" t="s">
        <v>94</v>
      </c>
      <c r="F2139" t="s">
        <v>77</v>
      </c>
      <c r="G2139" t="s">
        <v>95</v>
      </c>
    </row>
    <row r="2140" spans="1:7" x14ac:dyDescent="0.35">
      <c r="A2140" t="s">
        <v>17</v>
      </c>
    </row>
    <row r="2141" spans="1:7" x14ac:dyDescent="0.35">
      <c r="A2141" t="s">
        <v>64</v>
      </c>
      <c r="B2141" t="s">
        <v>65</v>
      </c>
      <c r="C2141" t="s">
        <v>18</v>
      </c>
    </row>
    <row r="2142" spans="1:7" x14ac:dyDescent="0.35">
      <c r="A2142" t="s">
        <v>8</v>
      </c>
    </row>
    <row r="2143" spans="1:7" x14ac:dyDescent="0.35">
      <c r="A2143" t="s">
        <v>7</v>
      </c>
    </row>
    <row r="2144" spans="1:7" x14ac:dyDescent="0.35">
      <c r="A2144" t="s">
        <v>121</v>
      </c>
      <c r="B2144" t="s">
        <v>122</v>
      </c>
    </row>
    <row r="2145" spans="1:6" x14ac:dyDescent="0.35">
      <c r="A2145" t="s">
        <v>12</v>
      </c>
    </row>
    <row r="2146" spans="1:6" x14ac:dyDescent="0.35">
      <c r="A2146" t="s">
        <v>17</v>
      </c>
    </row>
    <row r="2147" spans="1:6" x14ac:dyDescent="0.35">
      <c r="A2147" t="s">
        <v>126</v>
      </c>
      <c r="B2147" t="s">
        <v>127</v>
      </c>
    </row>
    <row r="2148" spans="1:6" x14ac:dyDescent="0.35">
      <c r="A2148" t="s">
        <v>64</v>
      </c>
      <c r="B2148" t="s">
        <v>65</v>
      </c>
      <c r="C2148" t="s">
        <v>66</v>
      </c>
      <c r="D2148" t="s">
        <v>18</v>
      </c>
      <c r="E2148" t="s">
        <v>67</v>
      </c>
      <c r="F2148" t="s">
        <v>68</v>
      </c>
    </row>
    <row r="2149" spans="1:6" x14ac:dyDescent="0.35">
      <c r="A2149" t="s">
        <v>1</v>
      </c>
    </row>
    <row r="2150" spans="1:6" x14ac:dyDescent="0.35">
      <c r="A2150" t="s">
        <v>96</v>
      </c>
      <c r="B2150" t="s">
        <v>18</v>
      </c>
    </row>
    <row r="2151" spans="1:6" x14ac:dyDescent="0.35">
      <c r="A2151" t="s">
        <v>10</v>
      </c>
    </row>
    <row r="2152" spans="1:6" x14ac:dyDescent="0.35">
      <c r="A2152" t="s">
        <v>155</v>
      </c>
      <c r="B2152" t="s">
        <v>156</v>
      </c>
      <c r="C2152" t="s">
        <v>157</v>
      </c>
    </row>
    <row r="2153" spans="1:6" x14ac:dyDescent="0.35">
      <c r="A2153" t="s">
        <v>50</v>
      </c>
      <c r="B2153" t="s">
        <v>51</v>
      </c>
      <c r="C2153" t="s">
        <v>52</v>
      </c>
      <c r="D2153" t="s">
        <v>61</v>
      </c>
    </row>
    <row r="2154" spans="1:6" x14ac:dyDescent="0.35">
      <c r="A2154" t="s">
        <v>17</v>
      </c>
    </row>
    <row r="2155" spans="1:6" x14ac:dyDescent="0.35">
      <c r="A2155" t="s">
        <v>50</v>
      </c>
      <c r="B2155" t="s">
        <v>70</v>
      </c>
      <c r="C2155" t="s">
        <v>51</v>
      </c>
      <c r="D2155" t="s">
        <v>52</v>
      </c>
      <c r="E2155" t="s">
        <v>63</v>
      </c>
      <c r="F2155" t="s">
        <v>71</v>
      </c>
    </row>
    <row r="2156" spans="1:6" x14ac:dyDescent="0.35">
      <c r="A2156" t="s">
        <v>96</v>
      </c>
      <c r="B2156" t="s">
        <v>18</v>
      </c>
    </row>
    <row r="2157" spans="1:6" x14ac:dyDescent="0.35">
      <c r="A2157" t="s">
        <v>12</v>
      </c>
    </row>
    <row r="2158" spans="1:6" x14ac:dyDescent="0.35">
      <c r="A2158" t="s">
        <v>18</v>
      </c>
    </row>
    <row r="2159" spans="1:6" x14ac:dyDescent="0.35">
      <c r="A2159" t="s">
        <v>6</v>
      </c>
    </row>
    <row r="2160" spans="1:6" x14ac:dyDescent="0.35">
      <c r="A2160" t="s">
        <v>3</v>
      </c>
    </row>
    <row r="2161" spans="1:6" x14ac:dyDescent="0.35">
      <c r="A2161" t="s">
        <v>214</v>
      </c>
      <c r="B2161" t="s">
        <v>215</v>
      </c>
    </row>
    <row r="2162" spans="1:6" x14ac:dyDescent="0.35">
      <c r="A2162" t="s">
        <v>96</v>
      </c>
      <c r="B2162" t="s">
        <v>176</v>
      </c>
      <c r="C2162" t="s">
        <v>66</v>
      </c>
      <c r="D2162" t="s">
        <v>18</v>
      </c>
      <c r="E2162" t="s">
        <v>67</v>
      </c>
      <c r="F2162" t="s">
        <v>68</v>
      </c>
    </row>
    <row r="2163" spans="1:6" x14ac:dyDescent="0.35">
      <c r="A2163" t="s">
        <v>50</v>
      </c>
      <c r="B2163" t="s">
        <v>51</v>
      </c>
      <c r="C2163" t="s">
        <v>52</v>
      </c>
    </row>
    <row r="2164" spans="1:6" x14ac:dyDescent="0.35">
      <c r="A2164" t="s">
        <v>50</v>
      </c>
      <c r="B2164" t="s">
        <v>51</v>
      </c>
      <c r="C2164" t="s">
        <v>52</v>
      </c>
      <c r="D2164" t="s">
        <v>63</v>
      </c>
    </row>
    <row r="2165" spans="1:6" x14ac:dyDescent="0.35">
      <c r="A2165" t="s">
        <v>64</v>
      </c>
      <c r="B2165" t="s">
        <v>66</v>
      </c>
      <c r="C2165" t="s">
        <v>18</v>
      </c>
      <c r="D2165" t="s">
        <v>67</v>
      </c>
      <c r="E2165" t="s">
        <v>68</v>
      </c>
    </row>
    <row r="2166" spans="1:6" x14ac:dyDescent="0.35">
      <c r="A2166" t="s">
        <v>1</v>
      </c>
    </row>
    <row r="2167" spans="1:6" x14ac:dyDescent="0.35">
      <c r="A2167" t="s">
        <v>96</v>
      </c>
      <c r="B2167" t="s">
        <v>18</v>
      </c>
    </row>
    <row r="2168" spans="1:6" x14ac:dyDescent="0.35">
      <c r="A2168" t="s">
        <v>96</v>
      </c>
      <c r="B2168" t="s">
        <v>18</v>
      </c>
    </row>
    <row r="2169" spans="1:6" x14ac:dyDescent="0.35">
      <c r="A2169" t="s">
        <v>50</v>
      </c>
      <c r="B2169" t="s">
        <v>51</v>
      </c>
      <c r="C2169" t="s">
        <v>52</v>
      </c>
      <c r="D2169" t="s">
        <v>77</v>
      </c>
      <c r="E2169" t="s">
        <v>83</v>
      </c>
      <c r="F2169" t="s">
        <v>84</v>
      </c>
    </row>
    <row r="2170" spans="1:6" x14ac:dyDescent="0.35">
      <c r="A2170" t="s">
        <v>18</v>
      </c>
      <c r="B2170" t="s">
        <v>130</v>
      </c>
    </row>
    <row r="2171" spans="1:6" x14ac:dyDescent="0.35">
      <c r="A2171" t="s">
        <v>6</v>
      </c>
    </row>
    <row r="2172" spans="1:6" x14ac:dyDescent="0.35">
      <c r="A2172" t="s">
        <v>50</v>
      </c>
      <c r="B2172" t="s">
        <v>51</v>
      </c>
      <c r="C2172" t="s">
        <v>52</v>
      </c>
      <c r="D2172" t="s">
        <v>63</v>
      </c>
    </row>
    <row r="2173" spans="1:6" x14ac:dyDescent="0.35">
      <c r="A2173" t="s">
        <v>1</v>
      </c>
      <c r="B2173" t="s">
        <v>87</v>
      </c>
      <c r="C2173" t="s">
        <v>188</v>
      </c>
    </row>
    <row r="2174" spans="1:6" x14ac:dyDescent="0.35">
      <c r="A2174" t="s">
        <v>50</v>
      </c>
      <c r="B2174" t="s">
        <v>51</v>
      </c>
      <c r="C2174" t="s">
        <v>52</v>
      </c>
    </row>
    <row r="2175" spans="1:6" x14ac:dyDescent="0.35">
      <c r="A2175" t="s">
        <v>50</v>
      </c>
      <c r="B2175" t="s">
        <v>51</v>
      </c>
      <c r="C2175" t="s">
        <v>52</v>
      </c>
      <c r="D2175" t="s">
        <v>63</v>
      </c>
    </row>
    <row r="2176" spans="1:6" x14ac:dyDescent="0.35">
      <c r="A2176" t="s">
        <v>34</v>
      </c>
    </row>
    <row r="2177" spans="1:6" x14ac:dyDescent="0.35">
      <c r="A2177" t="s">
        <v>7</v>
      </c>
    </row>
    <row r="2178" spans="1:6" x14ac:dyDescent="0.35">
      <c r="A2178" t="s">
        <v>5</v>
      </c>
    </row>
    <row r="2179" spans="1:6" x14ac:dyDescent="0.35">
      <c r="A2179" t="s">
        <v>17</v>
      </c>
    </row>
    <row r="2180" spans="1:6" x14ac:dyDescent="0.35">
      <c r="A2180" t="s">
        <v>3</v>
      </c>
    </row>
    <row r="2181" spans="1:6" x14ac:dyDescent="0.35">
      <c r="A2181" t="s">
        <v>1</v>
      </c>
      <c r="B2181" t="s">
        <v>87</v>
      </c>
      <c r="C2181" t="s">
        <v>131</v>
      </c>
    </row>
    <row r="2182" spans="1:6" x14ac:dyDescent="0.35">
      <c r="A2182" t="s">
        <v>50</v>
      </c>
      <c r="B2182" t="s">
        <v>51</v>
      </c>
      <c r="C2182" t="s">
        <v>52</v>
      </c>
      <c r="D2182" t="s">
        <v>72</v>
      </c>
      <c r="E2182" t="s">
        <v>73</v>
      </c>
    </row>
    <row r="2183" spans="1:6" x14ac:dyDescent="0.35">
      <c r="A2183" t="s">
        <v>21</v>
      </c>
    </row>
    <row r="2184" spans="1:6" x14ac:dyDescent="0.35">
      <c r="A2184" t="s">
        <v>96</v>
      </c>
      <c r="B2184" t="s">
        <v>176</v>
      </c>
      <c r="C2184" t="s">
        <v>66</v>
      </c>
      <c r="D2184" t="s">
        <v>18</v>
      </c>
      <c r="E2184" t="s">
        <v>67</v>
      </c>
      <c r="F2184" t="s">
        <v>68</v>
      </c>
    </row>
    <row r="2185" spans="1:6" x14ac:dyDescent="0.35">
      <c r="A2185" t="s">
        <v>1</v>
      </c>
    </row>
    <row r="2186" spans="1:6" x14ac:dyDescent="0.35">
      <c r="A2186" t="s">
        <v>50</v>
      </c>
      <c r="B2186" t="s">
        <v>51</v>
      </c>
      <c r="C2186" t="s">
        <v>52</v>
      </c>
      <c r="D2186" t="s">
        <v>72</v>
      </c>
      <c r="E2186" t="s">
        <v>73</v>
      </c>
      <c r="F2186" t="s">
        <v>113</v>
      </c>
    </row>
    <row r="2187" spans="1:6" x14ac:dyDescent="0.35">
      <c r="A2187" t="s">
        <v>87</v>
      </c>
      <c r="B2187" t="s">
        <v>216</v>
      </c>
    </row>
    <row r="2188" spans="1:6" x14ac:dyDescent="0.35">
      <c r="A2188" t="s">
        <v>56</v>
      </c>
      <c r="B2188" t="s">
        <v>57</v>
      </c>
      <c r="C2188" t="s">
        <v>171</v>
      </c>
      <c r="D2188" t="s">
        <v>172</v>
      </c>
      <c r="E2188" t="s">
        <v>173</v>
      </c>
    </row>
    <row r="2189" spans="1:6" x14ac:dyDescent="0.35">
      <c r="A2189" t="s">
        <v>50</v>
      </c>
      <c r="B2189" t="s">
        <v>51</v>
      </c>
      <c r="C2189" t="s">
        <v>52</v>
      </c>
      <c r="D2189" t="s">
        <v>63</v>
      </c>
    </row>
    <row r="2190" spans="1:6" x14ac:dyDescent="0.35">
      <c r="A2190" t="s">
        <v>18</v>
      </c>
    </row>
    <row r="2191" spans="1:6" x14ac:dyDescent="0.35">
      <c r="A2191" t="s">
        <v>50</v>
      </c>
      <c r="B2191" t="s">
        <v>51</v>
      </c>
      <c r="C2191" t="s">
        <v>52</v>
      </c>
    </row>
    <row r="2192" spans="1:6" x14ac:dyDescent="0.35">
      <c r="A2192" t="s">
        <v>1</v>
      </c>
      <c r="B2192" t="s">
        <v>87</v>
      </c>
      <c r="C2192" t="s">
        <v>128</v>
      </c>
    </row>
    <row r="2193" spans="1:7" x14ac:dyDescent="0.35">
      <c r="A2193" t="s">
        <v>93</v>
      </c>
      <c r="B2193" t="s">
        <v>50</v>
      </c>
      <c r="C2193" t="s">
        <v>51</v>
      </c>
      <c r="D2193" t="s">
        <v>52</v>
      </c>
      <c r="E2193" t="s">
        <v>94</v>
      </c>
      <c r="F2193" t="s">
        <v>77</v>
      </c>
      <c r="G2193" t="s">
        <v>95</v>
      </c>
    </row>
    <row r="2194" spans="1:7" x14ac:dyDescent="0.35">
      <c r="A2194" t="s">
        <v>50</v>
      </c>
      <c r="B2194" t="s">
        <v>51</v>
      </c>
      <c r="C2194" t="s">
        <v>52</v>
      </c>
    </row>
    <row r="2195" spans="1:7" x14ac:dyDescent="0.35">
      <c r="A2195" t="s">
        <v>1</v>
      </c>
    </row>
    <row r="2196" spans="1:7" x14ac:dyDescent="0.35">
      <c r="A2196" t="s">
        <v>1</v>
      </c>
      <c r="B2196" t="s">
        <v>87</v>
      </c>
      <c r="C2196" t="s">
        <v>170</v>
      </c>
    </row>
    <row r="2197" spans="1:7" x14ac:dyDescent="0.35">
      <c r="A2197" t="s">
        <v>12</v>
      </c>
    </row>
    <row r="2198" spans="1:7" x14ac:dyDescent="0.35">
      <c r="A2198" t="s">
        <v>35</v>
      </c>
    </row>
    <row r="2199" spans="1:7" x14ac:dyDescent="0.35">
      <c r="A2199" t="s">
        <v>12</v>
      </c>
    </row>
    <row r="2200" spans="1:7" x14ac:dyDescent="0.35">
      <c r="A2200" t="s">
        <v>4</v>
      </c>
    </row>
    <row r="2201" spans="1:7" x14ac:dyDescent="0.35">
      <c r="A2201" t="s">
        <v>17</v>
      </c>
    </row>
    <row r="2202" spans="1:7" x14ac:dyDescent="0.35">
      <c r="A2202" t="s">
        <v>96</v>
      </c>
      <c r="B2202" t="s">
        <v>18</v>
      </c>
    </row>
    <row r="2203" spans="1:7" x14ac:dyDescent="0.35">
      <c r="A2203" t="s">
        <v>10</v>
      </c>
    </row>
    <row r="2204" spans="1:7" x14ac:dyDescent="0.35">
      <c r="A2204" t="s">
        <v>1</v>
      </c>
    </row>
    <row r="2205" spans="1:7" x14ac:dyDescent="0.35">
      <c r="A2205" t="s">
        <v>56</v>
      </c>
      <c r="B2205" t="s">
        <v>57</v>
      </c>
      <c r="C2205" t="s">
        <v>171</v>
      </c>
      <c r="D2205" t="s">
        <v>172</v>
      </c>
      <c r="E2205" t="s">
        <v>173</v>
      </c>
    </row>
    <row r="2206" spans="1:7" x14ac:dyDescent="0.35">
      <c r="A2206" t="s">
        <v>8</v>
      </c>
    </row>
    <row r="2207" spans="1:7" x14ac:dyDescent="0.35">
      <c r="A2207" t="s">
        <v>1</v>
      </c>
      <c r="B2207" t="s">
        <v>87</v>
      </c>
      <c r="C2207" t="s">
        <v>217</v>
      </c>
      <c r="D2207" t="s">
        <v>181</v>
      </c>
    </row>
    <row r="2208" spans="1:7" x14ac:dyDescent="0.35">
      <c r="A2208" t="s">
        <v>7</v>
      </c>
    </row>
    <row r="2209" spans="1:5" x14ac:dyDescent="0.35">
      <c r="A2209" t="s">
        <v>126</v>
      </c>
      <c r="B2209" t="s">
        <v>127</v>
      </c>
    </row>
    <row r="2210" spans="1:5" x14ac:dyDescent="0.35">
      <c r="A2210" t="s">
        <v>56</v>
      </c>
      <c r="B2210" t="s">
        <v>57</v>
      </c>
    </row>
    <row r="2211" spans="1:5" x14ac:dyDescent="0.35">
      <c r="A2211" t="s">
        <v>8</v>
      </c>
    </row>
    <row r="2212" spans="1:5" x14ac:dyDescent="0.35">
      <c r="A2212" t="s">
        <v>36</v>
      </c>
    </row>
    <row r="2213" spans="1:5" x14ac:dyDescent="0.35">
      <c r="A2213" t="s">
        <v>1</v>
      </c>
    </row>
    <row r="2214" spans="1:5" x14ac:dyDescent="0.35">
      <c r="A2214" t="s">
        <v>50</v>
      </c>
      <c r="B2214" t="s">
        <v>51</v>
      </c>
      <c r="C2214" t="s">
        <v>52</v>
      </c>
      <c r="D2214" t="s">
        <v>74</v>
      </c>
      <c r="E2214" t="s">
        <v>75</v>
      </c>
    </row>
    <row r="2215" spans="1:5" x14ac:dyDescent="0.35">
      <c r="A2215" t="s">
        <v>7</v>
      </c>
    </row>
    <row r="2216" spans="1:5" x14ac:dyDescent="0.35">
      <c r="A2216" t="s">
        <v>50</v>
      </c>
      <c r="B2216" t="s">
        <v>51</v>
      </c>
      <c r="C2216" t="s">
        <v>52</v>
      </c>
      <c r="D2216" t="s">
        <v>63</v>
      </c>
    </row>
    <row r="2217" spans="1:5" x14ac:dyDescent="0.35">
      <c r="A2217" t="s">
        <v>50</v>
      </c>
      <c r="B2217" t="s">
        <v>51</v>
      </c>
      <c r="C2217" t="s">
        <v>52</v>
      </c>
      <c r="D2217" t="s">
        <v>61</v>
      </c>
    </row>
    <row r="2218" spans="1:5" x14ac:dyDescent="0.35">
      <c r="A2218" t="s">
        <v>8</v>
      </c>
    </row>
    <row r="2219" spans="1:5" x14ac:dyDescent="0.35">
      <c r="A2219" t="s">
        <v>10</v>
      </c>
    </row>
    <row r="2220" spans="1:5" x14ac:dyDescent="0.35">
      <c r="A2220" t="s">
        <v>7</v>
      </c>
    </row>
    <row r="2221" spans="1:5" x14ac:dyDescent="0.35">
      <c r="A2221" t="s">
        <v>18</v>
      </c>
      <c r="B2221" t="s">
        <v>130</v>
      </c>
    </row>
    <row r="2222" spans="1:5" x14ac:dyDescent="0.35">
      <c r="A2222" t="s">
        <v>50</v>
      </c>
      <c r="B2222" t="s">
        <v>51</v>
      </c>
      <c r="C2222" t="s">
        <v>52</v>
      </c>
    </row>
    <row r="2223" spans="1:5" x14ac:dyDescent="0.35">
      <c r="A2223" t="s">
        <v>3</v>
      </c>
    </row>
    <row r="2224" spans="1:5" x14ac:dyDescent="0.35">
      <c r="A2224" t="s">
        <v>24</v>
      </c>
    </row>
    <row r="2225" spans="1:7" x14ac:dyDescent="0.35">
      <c r="A2225" t="s">
        <v>7</v>
      </c>
    </row>
    <row r="2226" spans="1:7" x14ac:dyDescent="0.35">
      <c r="A2226" t="s">
        <v>3</v>
      </c>
      <c r="B2226" t="s">
        <v>117</v>
      </c>
    </row>
    <row r="2227" spans="1:7" x14ac:dyDescent="0.35">
      <c r="A2227" t="s">
        <v>56</v>
      </c>
      <c r="B2227" t="s">
        <v>57</v>
      </c>
    </row>
    <row r="2228" spans="1:7" x14ac:dyDescent="0.35">
      <c r="A2228" t="s">
        <v>3</v>
      </c>
    </row>
    <row r="2229" spans="1:7" x14ac:dyDescent="0.35">
      <c r="A2229" t="s">
        <v>50</v>
      </c>
      <c r="B2229" t="s">
        <v>51</v>
      </c>
      <c r="C2229" t="s">
        <v>52</v>
      </c>
    </row>
    <row r="2230" spans="1:7" x14ac:dyDescent="0.35">
      <c r="A2230" t="s">
        <v>96</v>
      </c>
      <c r="B2230" t="s">
        <v>18</v>
      </c>
    </row>
    <row r="2231" spans="1:7" x14ac:dyDescent="0.35">
      <c r="A2231" t="s">
        <v>6</v>
      </c>
    </row>
    <row r="2232" spans="1:7" x14ac:dyDescent="0.35">
      <c r="A2232" t="s">
        <v>93</v>
      </c>
      <c r="B2232" t="s">
        <v>50</v>
      </c>
      <c r="C2232" t="s">
        <v>51</v>
      </c>
      <c r="D2232" t="s">
        <v>52</v>
      </c>
      <c r="E2232" t="s">
        <v>94</v>
      </c>
      <c r="F2232" t="s">
        <v>77</v>
      </c>
      <c r="G2232" t="s">
        <v>95</v>
      </c>
    </row>
    <row r="2233" spans="1:7" x14ac:dyDescent="0.35">
      <c r="A2233" t="s">
        <v>3</v>
      </c>
    </row>
    <row r="2234" spans="1:7" x14ac:dyDescent="0.35">
      <c r="A2234" t="s">
        <v>109</v>
      </c>
      <c r="B2234" t="s">
        <v>110</v>
      </c>
      <c r="C2234" t="s">
        <v>111</v>
      </c>
    </row>
    <row r="2235" spans="1:7" x14ac:dyDescent="0.35">
      <c r="A2235" t="s">
        <v>3</v>
      </c>
    </row>
    <row r="2236" spans="1:7" x14ac:dyDescent="0.35">
      <c r="A2236" t="s">
        <v>8</v>
      </c>
    </row>
    <row r="2237" spans="1:7" x14ac:dyDescent="0.35">
      <c r="A2237" t="s">
        <v>9</v>
      </c>
    </row>
    <row r="2238" spans="1:7" x14ac:dyDescent="0.35">
      <c r="A2238" t="s">
        <v>18</v>
      </c>
      <c r="B2238" t="s">
        <v>160</v>
      </c>
    </row>
    <row r="2239" spans="1:7" x14ac:dyDescent="0.35">
      <c r="A2239" t="s">
        <v>11</v>
      </c>
    </row>
    <row r="2240" spans="1:7" x14ac:dyDescent="0.35">
      <c r="A2240" t="s">
        <v>10</v>
      </c>
    </row>
    <row r="2241" spans="1:6" x14ac:dyDescent="0.35">
      <c r="A2241" t="s">
        <v>126</v>
      </c>
      <c r="B2241" t="s">
        <v>127</v>
      </c>
    </row>
    <row r="2242" spans="1:6" x14ac:dyDescent="0.35">
      <c r="A2242" t="s">
        <v>50</v>
      </c>
      <c r="B2242" t="s">
        <v>51</v>
      </c>
      <c r="C2242" t="s">
        <v>52</v>
      </c>
      <c r="D2242" t="s">
        <v>72</v>
      </c>
      <c r="E2242" t="s">
        <v>73</v>
      </c>
      <c r="F2242" t="s">
        <v>113</v>
      </c>
    </row>
    <row r="2243" spans="1:6" x14ac:dyDescent="0.35">
      <c r="A2243" t="s">
        <v>50</v>
      </c>
      <c r="B2243" t="s">
        <v>51</v>
      </c>
      <c r="C2243" t="s">
        <v>52</v>
      </c>
      <c r="D2243" t="s">
        <v>72</v>
      </c>
      <c r="E2243" t="s">
        <v>73</v>
      </c>
      <c r="F2243" t="s">
        <v>113</v>
      </c>
    </row>
    <row r="2244" spans="1:6" x14ac:dyDescent="0.35">
      <c r="A2244" t="s">
        <v>17</v>
      </c>
    </row>
    <row r="2245" spans="1:6" x14ac:dyDescent="0.35">
      <c r="A2245" t="s">
        <v>8</v>
      </c>
    </row>
    <row r="2246" spans="1:6" x14ac:dyDescent="0.35">
      <c r="A2246" t="s">
        <v>81</v>
      </c>
      <c r="B2246" t="s">
        <v>11</v>
      </c>
    </row>
    <row r="2247" spans="1:6" x14ac:dyDescent="0.35">
      <c r="A2247" t="s">
        <v>9</v>
      </c>
    </row>
    <row r="2248" spans="1:6" x14ac:dyDescent="0.35">
      <c r="A2248" t="s">
        <v>8</v>
      </c>
    </row>
    <row r="2249" spans="1:6" x14ac:dyDescent="0.35">
      <c r="A2249" t="s">
        <v>18</v>
      </c>
      <c r="B2249" t="s">
        <v>160</v>
      </c>
    </row>
    <row r="2250" spans="1:6" x14ac:dyDescent="0.35">
      <c r="A2250" t="s">
        <v>7</v>
      </c>
    </row>
    <row r="2251" spans="1:6" x14ac:dyDescent="0.35">
      <c r="A2251" t="s">
        <v>3</v>
      </c>
    </row>
    <row r="2252" spans="1:6" x14ac:dyDescent="0.35">
      <c r="A2252" t="s">
        <v>96</v>
      </c>
      <c r="B2252" t="s">
        <v>18</v>
      </c>
    </row>
    <row r="2253" spans="1:6" x14ac:dyDescent="0.35">
      <c r="A2253" t="s">
        <v>11</v>
      </c>
      <c r="B2253" t="s">
        <v>107</v>
      </c>
    </row>
    <row r="2254" spans="1:6" x14ac:dyDescent="0.35">
      <c r="A2254" t="s">
        <v>50</v>
      </c>
      <c r="B2254" t="s">
        <v>51</v>
      </c>
      <c r="C2254" t="s">
        <v>52</v>
      </c>
      <c r="D2254" t="s">
        <v>63</v>
      </c>
    </row>
    <row r="2255" spans="1:6" x14ac:dyDescent="0.35">
      <c r="A2255" t="s">
        <v>81</v>
      </c>
      <c r="B2255" t="s">
        <v>11</v>
      </c>
    </row>
    <row r="2256" spans="1:6" x14ac:dyDescent="0.35">
      <c r="A2256" t="s">
        <v>1</v>
      </c>
      <c r="B2256" t="s">
        <v>87</v>
      </c>
      <c r="C2256" t="s">
        <v>133</v>
      </c>
    </row>
    <row r="2257" spans="1:6" x14ac:dyDescent="0.35">
      <c r="A2257" t="s">
        <v>81</v>
      </c>
      <c r="B2257" t="s">
        <v>11</v>
      </c>
    </row>
    <row r="2258" spans="1:6" x14ac:dyDescent="0.35">
      <c r="A2258" t="s">
        <v>50</v>
      </c>
      <c r="B2258" t="s">
        <v>51</v>
      </c>
      <c r="C2258" t="s">
        <v>52</v>
      </c>
      <c r="D2258" t="s">
        <v>63</v>
      </c>
    </row>
    <row r="2259" spans="1:6" x14ac:dyDescent="0.35">
      <c r="A2259" t="s">
        <v>64</v>
      </c>
      <c r="B2259" t="s">
        <v>65</v>
      </c>
      <c r="C2259" t="s">
        <v>66</v>
      </c>
      <c r="D2259" t="s">
        <v>18</v>
      </c>
      <c r="E2259" t="s">
        <v>67</v>
      </c>
      <c r="F2259" t="s">
        <v>68</v>
      </c>
    </row>
    <row r="2260" spans="1:6" x14ac:dyDescent="0.35">
      <c r="A2260" t="s">
        <v>165</v>
      </c>
      <c r="B2260" t="s">
        <v>1</v>
      </c>
    </row>
    <row r="2261" spans="1:6" x14ac:dyDescent="0.35">
      <c r="A2261" t="s">
        <v>1</v>
      </c>
      <c r="B2261" t="s">
        <v>87</v>
      </c>
      <c r="C2261" t="s">
        <v>131</v>
      </c>
    </row>
    <row r="2262" spans="1:6" x14ac:dyDescent="0.35">
      <c r="A2262" t="s">
        <v>50</v>
      </c>
      <c r="B2262" t="s">
        <v>51</v>
      </c>
      <c r="C2262" t="s">
        <v>52</v>
      </c>
      <c r="D2262" t="s">
        <v>63</v>
      </c>
    </row>
    <row r="2263" spans="1:6" x14ac:dyDescent="0.35">
      <c r="A2263" t="s">
        <v>41</v>
      </c>
      <c r="B2263" t="s">
        <v>218</v>
      </c>
      <c r="C2263" t="s">
        <v>167</v>
      </c>
    </row>
    <row r="2264" spans="1:6" x14ac:dyDescent="0.35">
      <c r="A2264" t="s">
        <v>1</v>
      </c>
    </row>
    <row r="2265" spans="1:6" x14ac:dyDescent="0.35">
      <c r="A2265" t="s">
        <v>96</v>
      </c>
      <c r="B2265" t="s">
        <v>18</v>
      </c>
    </row>
    <row r="2266" spans="1:6" x14ac:dyDescent="0.35">
      <c r="A2266" t="s">
        <v>12</v>
      </c>
    </row>
    <row r="2267" spans="1:6" x14ac:dyDescent="0.35">
      <c r="A2267" t="s">
        <v>50</v>
      </c>
      <c r="B2267" t="s">
        <v>51</v>
      </c>
      <c r="C2267" t="s">
        <v>52</v>
      </c>
      <c r="D2267" t="s">
        <v>72</v>
      </c>
      <c r="E2267" t="s">
        <v>73</v>
      </c>
      <c r="F2267" t="s">
        <v>113</v>
      </c>
    </row>
    <row r="2268" spans="1:6" x14ac:dyDescent="0.35">
      <c r="A2268" t="s">
        <v>2</v>
      </c>
    </row>
    <row r="2269" spans="1:6" x14ac:dyDescent="0.35">
      <c r="A2269" t="s">
        <v>10</v>
      </c>
    </row>
    <row r="2270" spans="1:6" x14ac:dyDescent="0.35">
      <c r="A2270" t="s">
        <v>2</v>
      </c>
    </row>
    <row r="2271" spans="1:6" x14ac:dyDescent="0.35">
      <c r="A2271" t="s">
        <v>3</v>
      </c>
      <c r="B2271" t="s">
        <v>117</v>
      </c>
    </row>
    <row r="2272" spans="1:6" x14ac:dyDescent="0.35">
      <c r="A2272" t="s">
        <v>155</v>
      </c>
      <c r="B2272" t="s">
        <v>156</v>
      </c>
      <c r="C2272" t="s">
        <v>157</v>
      </c>
    </row>
    <row r="2273" spans="1:8" x14ac:dyDescent="0.35">
      <c r="A2273" t="s">
        <v>64</v>
      </c>
      <c r="B2273" t="s">
        <v>66</v>
      </c>
      <c r="C2273" t="s">
        <v>18</v>
      </c>
      <c r="D2273" t="s">
        <v>67</v>
      </c>
      <c r="E2273" t="s">
        <v>68</v>
      </c>
    </row>
    <row r="2274" spans="1:8" x14ac:dyDescent="0.35">
      <c r="A2274" t="s">
        <v>64</v>
      </c>
      <c r="B2274" t="s">
        <v>18</v>
      </c>
    </row>
    <row r="2275" spans="1:8" x14ac:dyDescent="0.35">
      <c r="A2275" t="s">
        <v>17</v>
      </c>
    </row>
    <row r="2276" spans="1:8" x14ac:dyDescent="0.35">
      <c r="A2276" t="s">
        <v>7</v>
      </c>
    </row>
    <row r="2277" spans="1:8" x14ac:dyDescent="0.35">
      <c r="A2277" t="s">
        <v>162</v>
      </c>
      <c r="B2277" t="s">
        <v>164</v>
      </c>
      <c r="C2277" t="s">
        <v>124</v>
      </c>
    </row>
    <row r="2278" spans="1:8" x14ac:dyDescent="0.35">
      <c r="A2278" t="s">
        <v>1</v>
      </c>
    </row>
    <row r="2279" spans="1:8" x14ac:dyDescent="0.35">
      <c r="A2279" t="s">
        <v>3</v>
      </c>
    </row>
    <row r="2280" spans="1:8" x14ac:dyDescent="0.35">
      <c r="A2280" t="s">
        <v>7</v>
      </c>
    </row>
    <row r="2281" spans="1:8" x14ac:dyDescent="0.35">
      <c r="A2281" t="s">
        <v>1</v>
      </c>
      <c r="B2281" t="s">
        <v>134</v>
      </c>
    </row>
    <row r="2282" spans="1:8" x14ac:dyDescent="0.35">
      <c r="A2282" t="s">
        <v>12</v>
      </c>
    </row>
    <row r="2283" spans="1:8" x14ac:dyDescent="0.35">
      <c r="A2283" t="s">
        <v>5</v>
      </c>
    </row>
    <row r="2284" spans="1:8" x14ac:dyDescent="0.35">
      <c r="A2284" t="s">
        <v>96</v>
      </c>
      <c r="B2284" t="s">
        <v>18</v>
      </c>
    </row>
    <row r="2285" spans="1:8" x14ac:dyDescent="0.35">
      <c r="A2285" t="s">
        <v>50</v>
      </c>
      <c r="B2285" t="s">
        <v>51</v>
      </c>
      <c r="C2285" t="s">
        <v>52</v>
      </c>
      <c r="D2285" t="s">
        <v>63</v>
      </c>
    </row>
    <row r="2286" spans="1:8" x14ac:dyDescent="0.35">
      <c r="A2286" t="s">
        <v>29</v>
      </c>
      <c r="B2286" t="s">
        <v>219</v>
      </c>
      <c r="C2286" t="s">
        <v>207</v>
      </c>
      <c r="D2286" t="s">
        <v>220</v>
      </c>
      <c r="E2286" t="s">
        <v>221</v>
      </c>
      <c r="F2286" t="s">
        <v>167</v>
      </c>
      <c r="G2286" t="s">
        <v>208</v>
      </c>
      <c r="H2286" t="s">
        <v>168</v>
      </c>
    </row>
    <row r="2287" spans="1:8" x14ac:dyDescent="0.35">
      <c r="A2287" t="s">
        <v>81</v>
      </c>
      <c r="B2287" t="s">
        <v>11</v>
      </c>
    </row>
    <row r="2288" spans="1:8" x14ac:dyDescent="0.35">
      <c r="A2288" t="s">
        <v>23</v>
      </c>
    </row>
    <row r="2289" spans="1:4" x14ac:dyDescent="0.35">
      <c r="A2289" t="s">
        <v>20</v>
      </c>
    </row>
    <row r="2290" spans="1:4" x14ac:dyDescent="0.35">
      <c r="A2290" t="s">
        <v>7</v>
      </c>
    </row>
    <row r="2291" spans="1:4" x14ac:dyDescent="0.35">
      <c r="A2291" t="s">
        <v>1</v>
      </c>
    </row>
    <row r="2292" spans="1:4" x14ac:dyDescent="0.35">
      <c r="A2292" t="s">
        <v>50</v>
      </c>
      <c r="B2292" t="s">
        <v>51</v>
      </c>
      <c r="C2292" t="s">
        <v>52</v>
      </c>
      <c r="D2292" t="s">
        <v>63</v>
      </c>
    </row>
    <row r="2293" spans="1:4" x14ac:dyDescent="0.35">
      <c r="A2293" t="s">
        <v>3</v>
      </c>
    </row>
    <row r="2294" spans="1:4" x14ac:dyDescent="0.35">
      <c r="A2294" t="s">
        <v>12</v>
      </c>
    </row>
    <row r="2295" spans="1:4" x14ac:dyDescent="0.35">
      <c r="A2295" t="s">
        <v>8</v>
      </c>
    </row>
    <row r="2296" spans="1:4" x14ac:dyDescent="0.35">
      <c r="A2296" t="s">
        <v>15</v>
      </c>
    </row>
    <row r="2297" spans="1:4" x14ac:dyDescent="0.35">
      <c r="A2297" t="s">
        <v>126</v>
      </c>
      <c r="B2297" t="s">
        <v>127</v>
      </c>
    </row>
    <row r="2298" spans="1:4" x14ac:dyDescent="0.35">
      <c r="A2298" t="s">
        <v>8</v>
      </c>
    </row>
    <row r="2299" spans="1:4" x14ac:dyDescent="0.35">
      <c r="A2299" t="s">
        <v>126</v>
      </c>
      <c r="B2299" t="s">
        <v>127</v>
      </c>
    </row>
    <row r="2300" spans="1:4" x14ac:dyDescent="0.35">
      <c r="A2300" t="s">
        <v>155</v>
      </c>
      <c r="B2300" t="s">
        <v>156</v>
      </c>
      <c r="C2300" t="s">
        <v>157</v>
      </c>
    </row>
    <row r="2301" spans="1:4" x14ac:dyDescent="0.35">
      <c r="A2301" t="s">
        <v>12</v>
      </c>
    </row>
    <row r="2302" spans="1:4" x14ac:dyDescent="0.35">
      <c r="A2302" t="s">
        <v>56</v>
      </c>
      <c r="B2302" t="s">
        <v>57</v>
      </c>
    </row>
    <row r="2303" spans="1:4" x14ac:dyDescent="0.35">
      <c r="A2303" t="s">
        <v>56</v>
      </c>
      <c r="B2303" t="s">
        <v>57</v>
      </c>
    </row>
    <row r="2304" spans="1:4" x14ac:dyDescent="0.35">
      <c r="A2304" t="s">
        <v>12</v>
      </c>
    </row>
    <row r="2305" spans="1:7" x14ac:dyDescent="0.35">
      <c r="A2305" t="s">
        <v>3</v>
      </c>
      <c r="B2305" t="s">
        <v>117</v>
      </c>
    </row>
    <row r="2306" spans="1:7" x14ac:dyDescent="0.35">
      <c r="A2306" t="s">
        <v>6</v>
      </c>
    </row>
    <row r="2307" spans="1:7" x14ac:dyDescent="0.35">
      <c r="A2307" t="s">
        <v>50</v>
      </c>
      <c r="B2307" t="s">
        <v>51</v>
      </c>
      <c r="C2307" t="s">
        <v>52</v>
      </c>
      <c r="D2307" t="s">
        <v>63</v>
      </c>
    </row>
    <row r="2308" spans="1:7" x14ac:dyDescent="0.35">
      <c r="A2308" t="s">
        <v>50</v>
      </c>
      <c r="B2308" t="s">
        <v>51</v>
      </c>
      <c r="C2308" t="s">
        <v>52</v>
      </c>
      <c r="D2308" t="s">
        <v>92</v>
      </c>
    </row>
    <row r="2309" spans="1:7" x14ac:dyDescent="0.35">
      <c r="A2309" t="s">
        <v>7</v>
      </c>
    </row>
    <row r="2310" spans="1:7" x14ac:dyDescent="0.35">
      <c r="A2310" t="s">
        <v>3</v>
      </c>
    </row>
    <row r="2311" spans="1:7" x14ac:dyDescent="0.35">
      <c r="A2311" t="s">
        <v>37</v>
      </c>
    </row>
    <row r="2312" spans="1:7" x14ac:dyDescent="0.35">
      <c r="A2312" t="s">
        <v>149</v>
      </c>
      <c r="B2312" t="s">
        <v>109</v>
      </c>
      <c r="C2312" t="s">
        <v>110</v>
      </c>
      <c r="D2312" t="s">
        <v>111</v>
      </c>
    </row>
    <row r="2313" spans="1:7" x14ac:dyDescent="0.35">
      <c r="A2313" t="s">
        <v>1</v>
      </c>
    </row>
    <row r="2314" spans="1:7" x14ac:dyDescent="0.35">
      <c r="A2314" t="s">
        <v>64</v>
      </c>
      <c r="B2314" t="s">
        <v>65</v>
      </c>
      <c r="C2314" t="s">
        <v>66</v>
      </c>
      <c r="D2314" t="s">
        <v>18</v>
      </c>
      <c r="E2314" t="s">
        <v>67</v>
      </c>
      <c r="F2314" t="s">
        <v>68</v>
      </c>
    </row>
    <row r="2315" spans="1:7" x14ac:dyDescent="0.35">
      <c r="A2315" t="s">
        <v>100</v>
      </c>
      <c r="B2315" t="s">
        <v>101</v>
      </c>
      <c r="C2315" t="s">
        <v>102</v>
      </c>
    </row>
    <row r="2316" spans="1:7" x14ac:dyDescent="0.35">
      <c r="A2316" t="s">
        <v>81</v>
      </c>
      <c r="B2316" t="s">
        <v>11</v>
      </c>
    </row>
    <row r="2317" spans="1:7" x14ac:dyDescent="0.35">
      <c r="A2317" t="s">
        <v>3</v>
      </c>
    </row>
    <row r="2318" spans="1:7" x14ac:dyDescent="0.35">
      <c r="A2318" t="s">
        <v>56</v>
      </c>
      <c r="B2318" t="s">
        <v>57</v>
      </c>
      <c r="C2318" t="s">
        <v>171</v>
      </c>
      <c r="D2318" t="s">
        <v>172</v>
      </c>
      <c r="E2318" t="s">
        <v>173</v>
      </c>
    </row>
    <row r="2319" spans="1:7" x14ac:dyDescent="0.35">
      <c r="A2319" t="s">
        <v>222</v>
      </c>
      <c r="B2319" t="s">
        <v>1</v>
      </c>
      <c r="C2319" t="s">
        <v>87</v>
      </c>
    </row>
    <row r="2320" spans="1:7" x14ac:dyDescent="0.35">
      <c r="A2320" t="s">
        <v>139</v>
      </c>
      <c r="B2320" t="s">
        <v>140</v>
      </c>
      <c r="C2320" t="s">
        <v>141</v>
      </c>
      <c r="D2320" t="s">
        <v>142</v>
      </c>
      <c r="E2320" t="s">
        <v>124</v>
      </c>
      <c r="F2320" t="s">
        <v>143</v>
      </c>
      <c r="G2320" t="s">
        <v>223</v>
      </c>
    </row>
    <row r="2321" spans="1:7" x14ac:dyDescent="0.35">
      <c r="A2321" t="s">
        <v>93</v>
      </c>
      <c r="B2321" t="s">
        <v>50</v>
      </c>
      <c r="C2321" t="s">
        <v>51</v>
      </c>
      <c r="D2321" t="s">
        <v>52</v>
      </c>
      <c r="E2321" t="s">
        <v>94</v>
      </c>
      <c r="F2321" t="s">
        <v>77</v>
      </c>
    </row>
    <row r="2322" spans="1:7" x14ac:dyDescent="0.35">
      <c r="A2322" t="s">
        <v>7</v>
      </c>
    </row>
    <row r="2323" spans="1:7" x14ac:dyDescent="0.35">
      <c r="A2323" t="s">
        <v>3</v>
      </c>
    </row>
    <row r="2324" spans="1:7" x14ac:dyDescent="0.35">
      <c r="A2324" t="s">
        <v>11</v>
      </c>
    </row>
    <row r="2325" spans="1:7" x14ac:dyDescent="0.35">
      <c r="A2325" t="s">
        <v>18</v>
      </c>
      <c r="B2325" t="s">
        <v>160</v>
      </c>
    </row>
    <row r="2326" spans="1:7" x14ac:dyDescent="0.35">
      <c r="A2326" t="s">
        <v>50</v>
      </c>
      <c r="B2326" t="s">
        <v>51</v>
      </c>
      <c r="C2326" t="s">
        <v>52</v>
      </c>
    </row>
    <row r="2327" spans="1:7" x14ac:dyDescent="0.35">
      <c r="A2327" t="s">
        <v>7</v>
      </c>
    </row>
    <row r="2328" spans="1:7" x14ac:dyDescent="0.35">
      <c r="A2328" t="s">
        <v>12</v>
      </c>
    </row>
    <row r="2329" spans="1:7" x14ac:dyDescent="0.35">
      <c r="A2329" t="s">
        <v>18</v>
      </c>
      <c r="B2329" t="s">
        <v>160</v>
      </c>
    </row>
    <row r="2330" spans="1:7" x14ac:dyDescent="0.35">
      <c r="A2330" t="s">
        <v>64</v>
      </c>
      <c r="B2330" t="s">
        <v>66</v>
      </c>
      <c r="C2330" t="s">
        <v>18</v>
      </c>
      <c r="D2330" t="s">
        <v>67</v>
      </c>
      <c r="E2330" t="s">
        <v>68</v>
      </c>
    </row>
    <row r="2331" spans="1:7" x14ac:dyDescent="0.35">
      <c r="A2331" t="s">
        <v>3</v>
      </c>
    </row>
    <row r="2332" spans="1:7" x14ac:dyDescent="0.35">
      <c r="A2332" t="s">
        <v>139</v>
      </c>
      <c r="B2332" t="s">
        <v>140</v>
      </c>
      <c r="C2332" t="s">
        <v>141</v>
      </c>
      <c r="D2332" t="s">
        <v>142</v>
      </c>
      <c r="E2332" t="s">
        <v>124</v>
      </c>
      <c r="F2332" t="s">
        <v>143</v>
      </c>
      <c r="G2332" t="s">
        <v>224</v>
      </c>
    </row>
    <row r="2333" spans="1:7" x14ac:dyDescent="0.35">
      <c r="A2333" t="s">
        <v>64</v>
      </c>
      <c r="B2333" t="s">
        <v>18</v>
      </c>
    </row>
    <row r="2334" spans="1:7" x14ac:dyDescent="0.35">
      <c r="A2334" t="s">
        <v>3</v>
      </c>
    </row>
    <row r="2335" spans="1:7" x14ac:dyDescent="0.35">
      <c r="A2335" t="s">
        <v>56</v>
      </c>
      <c r="B2335" t="s">
        <v>57</v>
      </c>
      <c r="C2335" t="s">
        <v>104</v>
      </c>
    </row>
    <row r="2336" spans="1:7" x14ac:dyDescent="0.35">
      <c r="A2336" t="s">
        <v>12</v>
      </c>
    </row>
    <row r="2337" spans="1:7" x14ac:dyDescent="0.35">
      <c r="A2337" t="s">
        <v>18</v>
      </c>
    </row>
    <row r="2338" spans="1:7" x14ac:dyDescent="0.35">
      <c r="A2338" t="s">
        <v>64</v>
      </c>
      <c r="B2338" t="s">
        <v>65</v>
      </c>
      <c r="C2338" t="s">
        <v>158</v>
      </c>
      <c r="D2338" t="s">
        <v>66</v>
      </c>
      <c r="E2338" t="s">
        <v>18</v>
      </c>
      <c r="F2338" t="s">
        <v>67</v>
      </c>
      <c r="G2338" t="s">
        <v>68</v>
      </c>
    </row>
    <row r="2339" spans="1:7" x14ac:dyDescent="0.35">
      <c r="A2339" t="s">
        <v>37</v>
      </c>
    </row>
    <row r="2340" spans="1:7" x14ac:dyDescent="0.35">
      <c r="A2340" t="s">
        <v>25</v>
      </c>
    </row>
    <row r="2341" spans="1:7" x14ac:dyDescent="0.35">
      <c r="A2341" t="s">
        <v>1</v>
      </c>
    </row>
    <row r="2342" spans="1:7" x14ac:dyDescent="0.35">
      <c r="A2342" t="s">
        <v>5</v>
      </c>
    </row>
    <row r="2343" spans="1:7" x14ac:dyDescent="0.35">
      <c r="A2343" t="s">
        <v>5</v>
      </c>
    </row>
    <row r="2344" spans="1:7" x14ac:dyDescent="0.35">
      <c r="A2344" t="s">
        <v>17</v>
      </c>
    </row>
    <row r="2345" spans="1:7" x14ac:dyDescent="0.35">
      <c r="A2345" t="s">
        <v>10</v>
      </c>
    </row>
    <row r="2346" spans="1:7" x14ac:dyDescent="0.35">
      <c r="A2346" t="s">
        <v>38</v>
      </c>
    </row>
    <row r="2347" spans="1:7" x14ac:dyDescent="0.35">
      <c r="A2347" t="s">
        <v>18</v>
      </c>
    </row>
    <row r="2348" spans="1:7" x14ac:dyDescent="0.35">
      <c r="A2348" t="s">
        <v>155</v>
      </c>
      <c r="B2348" t="s">
        <v>156</v>
      </c>
      <c r="C2348" t="s">
        <v>157</v>
      </c>
    </row>
    <row r="2349" spans="1:7" x14ac:dyDescent="0.35">
      <c r="A2349" t="s">
        <v>10</v>
      </c>
    </row>
    <row r="2350" spans="1:7" x14ac:dyDescent="0.35">
      <c r="A2350" t="s">
        <v>1</v>
      </c>
      <c r="B2350" t="s">
        <v>87</v>
      </c>
      <c r="C2350" t="s">
        <v>192</v>
      </c>
    </row>
    <row r="2351" spans="1:7" x14ac:dyDescent="0.35">
      <c r="A2351" t="s">
        <v>56</v>
      </c>
      <c r="B2351" t="s">
        <v>57</v>
      </c>
    </row>
    <row r="2352" spans="1:7" x14ac:dyDescent="0.35">
      <c r="A2352" t="s">
        <v>18</v>
      </c>
      <c r="B2352" t="s">
        <v>225</v>
      </c>
    </row>
    <row r="2353" spans="1:9" x14ac:dyDescent="0.35">
      <c r="A2353" t="s">
        <v>93</v>
      </c>
      <c r="B2353" t="s">
        <v>50</v>
      </c>
      <c r="C2353" t="s">
        <v>51</v>
      </c>
      <c r="D2353" t="s">
        <v>52</v>
      </c>
    </row>
    <row r="2354" spans="1:9" x14ac:dyDescent="0.35">
      <c r="A2354" t="s">
        <v>31</v>
      </c>
    </row>
    <row r="2355" spans="1:9" x14ac:dyDescent="0.35">
      <c r="A2355" t="s">
        <v>18</v>
      </c>
      <c r="B2355" t="s">
        <v>130</v>
      </c>
    </row>
    <row r="2356" spans="1:9" x14ac:dyDescent="0.35">
      <c r="A2356" t="s">
        <v>56</v>
      </c>
      <c r="B2356" t="s">
        <v>57</v>
      </c>
    </row>
    <row r="2357" spans="1:9" x14ac:dyDescent="0.35">
      <c r="A2357" t="s">
        <v>64</v>
      </c>
      <c r="B2357" t="s">
        <v>65</v>
      </c>
      <c r="C2357" t="s">
        <v>66</v>
      </c>
      <c r="D2357" t="s">
        <v>18</v>
      </c>
      <c r="E2357" t="s">
        <v>67</v>
      </c>
      <c r="F2357" t="s">
        <v>68</v>
      </c>
    </row>
    <row r="2358" spans="1:9" x14ac:dyDescent="0.35">
      <c r="A2358" t="s">
        <v>32</v>
      </c>
    </row>
    <row r="2359" spans="1:9" x14ac:dyDescent="0.35">
      <c r="A2359" t="s">
        <v>1</v>
      </c>
    </row>
    <row r="2360" spans="1:9" x14ac:dyDescent="0.35">
      <c r="A2360" t="s">
        <v>15</v>
      </c>
    </row>
    <row r="2361" spans="1:9" x14ac:dyDescent="0.35">
      <c r="A2361" t="s">
        <v>12</v>
      </c>
    </row>
    <row r="2362" spans="1:9" x14ac:dyDescent="0.35">
      <c r="A2362" t="s">
        <v>64</v>
      </c>
      <c r="B2362" t="s">
        <v>65</v>
      </c>
      <c r="C2362" t="s">
        <v>66</v>
      </c>
      <c r="D2362" t="s">
        <v>18</v>
      </c>
      <c r="E2362" t="s">
        <v>67</v>
      </c>
      <c r="F2362" t="s">
        <v>68</v>
      </c>
    </row>
    <row r="2363" spans="1:9" x14ac:dyDescent="0.35">
      <c r="A2363" t="s">
        <v>138</v>
      </c>
      <c r="B2363" t="s">
        <v>139</v>
      </c>
      <c r="C2363" t="s">
        <v>140</v>
      </c>
      <c r="D2363" t="s">
        <v>141</v>
      </c>
      <c r="E2363" t="s">
        <v>142</v>
      </c>
      <c r="F2363" t="s">
        <v>124</v>
      </c>
      <c r="G2363" t="s">
        <v>143</v>
      </c>
      <c r="H2363" t="s">
        <v>226</v>
      </c>
      <c r="I2363" t="s">
        <v>145</v>
      </c>
    </row>
    <row r="2364" spans="1:9" x14ac:dyDescent="0.35">
      <c r="A2364" t="s">
        <v>64</v>
      </c>
      <c r="B2364" t="s">
        <v>66</v>
      </c>
      <c r="C2364" t="s">
        <v>18</v>
      </c>
      <c r="D2364" t="s">
        <v>67</v>
      </c>
      <c r="E2364" t="s">
        <v>68</v>
      </c>
    </row>
    <row r="2365" spans="1:9" x14ac:dyDescent="0.35">
      <c r="A2365" t="s">
        <v>18</v>
      </c>
      <c r="B2365" t="s">
        <v>160</v>
      </c>
    </row>
    <row r="2366" spans="1:9" x14ac:dyDescent="0.35">
      <c r="A2366" t="s">
        <v>17</v>
      </c>
    </row>
    <row r="2367" spans="1:9" x14ac:dyDescent="0.35">
      <c r="A2367" t="s">
        <v>1</v>
      </c>
      <c r="B2367" t="s">
        <v>87</v>
      </c>
      <c r="C2367" t="s">
        <v>128</v>
      </c>
    </row>
    <row r="2368" spans="1:9" x14ac:dyDescent="0.35">
      <c r="A2368" t="s">
        <v>18</v>
      </c>
    </row>
    <row r="2369" spans="1:6" x14ac:dyDescent="0.35">
      <c r="A2369" t="s">
        <v>7</v>
      </c>
    </row>
    <row r="2370" spans="1:6" x14ac:dyDescent="0.35">
      <c r="A2370" t="s">
        <v>7</v>
      </c>
    </row>
    <row r="2371" spans="1:6" x14ac:dyDescent="0.35">
      <c r="A2371" t="s">
        <v>1</v>
      </c>
    </row>
    <row r="2372" spans="1:6" x14ac:dyDescent="0.35">
      <c r="A2372" t="s">
        <v>15</v>
      </c>
    </row>
    <row r="2373" spans="1:6" x14ac:dyDescent="0.35">
      <c r="A2373" t="s">
        <v>50</v>
      </c>
      <c r="B2373" t="s">
        <v>51</v>
      </c>
      <c r="C2373" t="s">
        <v>52</v>
      </c>
      <c r="D2373" t="s">
        <v>77</v>
      </c>
      <c r="E2373" t="s">
        <v>83</v>
      </c>
      <c r="F2373" t="s">
        <v>84</v>
      </c>
    </row>
    <row r="2374" spans="1:6" x14ac:dyDescent="0.35">
      <c r="A2374" t="s">
        <v>7</v>
      </c>
    </row>
    <row r="2375" spans="1:6" x14ac:dyDescent="0.35">
      <c r="A2375" t="s">
        <v>8</v>
      </c>
    </row>
    <row r="2376" spans="1:6" x14ac:dyDescent="0.35">
      <c r="A2376" t="s">
        <v>64</v>
      </c>
      <c r="B2376" t="s">
        <v>65</v>
      </c>
      <c r="C2376" t="s">
        <v>66</v>
      </c>
      <c r="D2376" t="s">
        <v>18</v>
      </c>
      <c r="E2376" t="s">
        <v>67</v>
      </c>
      <c r="F2376" t="s">
        <v>68</v>
      </c>
    </row>
    <row r="2377" spans="1:6" x14ac:dyDescent="0.35">
      <c r="A2377" t="s">
        <v>50</v>
      </c>
      <c r="B2377" t="s">
        <v>51</v>
      </c>
      <c r="C2377" t="s">
        <v>52</v>
      </c>
      <c r="D2377" t="s">
        <v>63</v>
      </c>
    </row>
    <row r="2378" spans="1:6" x14ac:dyDescent="0.35">
      <c r="A2378" t="s">
        <v>108</v>
      </c>
      <c r="B2378" t="s">
        <v>11</v>
      </c>
    </row>
    <row r="2379" spans="1:6" x14ac:dyDescent="0.35">
      <c r="A2379" t="s">
        <v>50</v>
      </c>
      <c r="B2379" t="s">
        <v>51</v>
      </c>
      <c r="C2379" t="s">
        <v>52</v>
      </c>
      <c r="D2379" t="s">
        <v>85</v>
      </c>
    </row>
    <row r="2380" spans="1:6" x14ac:dyDescent="0.35">
      <c r="A2380" t="s">
        <v>4</v>
      </c>
    </row>
    <row r="2381" spans="1:6" x14ac:dyDescent="0.35">
      <c r="A2381" t="s">
        <v>56</v>
      </c>
      <c r="B2381" t="s">
        <v>57</v>
      </c>
      <c r="C2381" t="s">
        <v>99</v>
      </c>
    </row>
    <row r="2382" spans="1:6" x14ac:dyDescent="0.35">
      <c r="A2382" t="s">
        <v>56</v>
      </c>
      <c r="B2382" t="s">
        <v>57</v>
      </c>
    </row>
    <row r="2383" spans="1:6" x14ac:dyDescent="0.35">
      <c r="A2383" t="s">
        <v>50</v>
      </c>
      <c r="B2383" t="s">
        <v>51</v>
      </c>
      <c r="C2383" t="s">
        <v>52</v>
      </c>
      <c r="D2383" t="s">
        <v>77</v>
      </c>
      <c r="E2383" t="s">
        <v>83</v>
      </c>
      <c r="F2383" t="s">
        <v>84</v>
      </c>
    </row>
    <row r="2384" spans="1:6" x14ac:dyDescent="0.35">
      <c r="A2384" t="s">
        <v>64</v>
      </c>
      <c r="B2384" t="s">
        <v>65</v>
      </c>
      <c r="C2384" t="s">
        <v>66</v>
      </c>
      <c r="D2384" t="s">
        <v>18</v>
      </c>
      <c r="E2384" t="s">
        <v>67</v>
      </c>
      <c r="F2384" t="s">
        <v>68</v>
      </c>
    </row>
    <row r="2385" spans="1:6" x14ac:dyDescent="0.35">
      <c r="A2385" t="s">
        <v>56</v>
      </c>
      <c r="B2385" t="s">
        <v>57</v>
      </c>
      <c r="C2385" t="s">
        <v>171</v>
      </c>
      <c r="D2385" t="s">
        <v>172</v>
      </c>
      <c r="E2385" t="s">
        <v>173</v>
      </c>
    </row>
    <row r="2386" spans="1:6" x14ac:dyDescent="0.35">
      <c r="A2386" t="s">
        <v>3</v>
      </c>
    </row>
    <row r="2387" spans="1:6" x14ac:dyDescent="0.35">
      <c r="A2387" t="s">
        <v>17</v>
      </c>
    </row>
    <row r="2388" spans="1:6" x14ac:dyDescent="0.35">
      <c r="A2388" t="s">
        <v>81</v>
      </c>
      <c r="B2388" t="s">
        <v>11</v>
      </c>
    </row>
    <row r="2389" spans="1:6" x14ac:dyDescent="0.35">
      <c r="A2389" t="s">
        <v>50</v>
      </c>
      <c r="B2389" t="s">
        <v>51</v>
      </c>
      <c r="C2389" t="s">
        <v>52</v>
      </c>
      <c r="D2389" t="s">
        <v>63</v>
      </c>
    </row>
    <row r="2390" spans="1:6" x14ac:dyDescent="0.35">
      <c r="A2390" t="s">
        <v>11</v>
      </c>
    </row>
    <row r="2391" spans="1:6" x14ac:dyDescent="0.35">
      <c r="A2391" t="s">
        <v>64</v>
      </c>
      <c r="B2391" t="s">
        <v>65</v>
      </c>
      <c r="C2391" t="s">
        <v>66</v>
      </c>
      <c r="D2391" t="s">
        <v>18</v>
      </c>
      <c r="E2391" t="s">
        <v>67</v>
      </c>
      <c r="F2391" t="s">
        <v>68</v>
      </c>
    </row>
    <row r="2392" spans="1:6" x14ac:dyDescent="0.35">
      <c r="A2392" t="s">
        <v>7</v>
      </c>
    </row>
    <row r="2393" spans="1:6" x14ac:dyDescent="0.35">
      <c r="A2393" t="s">
        <v>96</v>
      </c>
      <c r="B2393" t="s">
        <v>18</v>
      </c>
    </row>
    <row r="2394" spans="1:6" x14ac:dyDescent="0.35">
      <c r="A2394" t="s">
        <v>19</v>
      </c>
    </row>
    <row r="2395" spans="1:6" x14ac:dyDescent="0.35">
      <c r="A2395" t="s">
        <v>1</v>
      </c>
      <c r="B2395" t="s">
        <v>87</v>
      </c>
      <c r="C2395" t="s">
        <v>188</v>
      </c>
    </row>
    <row r="2396" spans="1:6" x14ac:dyDescent="0.35">
      <c r="A2396" t="s">
        <v>166</v>
      </c>
      <c r="B2396" t="s">
        <v>167</v>
      </c>
      <c r="C2396" t="s">
        <v>168</v>
      </c>
      <c r="D2396" t="s">
        <v>169</v>
      </c>
    </row>
    <row r="2397" spans="1:6" x14ac:dyDescent="0.35">
      <c r="A2397" t="s">
        <v>1</v>
      </c>
    </row>
    <row r="2398" spans="1:6" x14ac:dyDescent="0.35">
      <c r="A2398" t="s">
        <v>17</v>
      </c>
    </row>
    <row r="2399" spans="1:6" x14ac:dyDescent="0.35">
      <c r="A2399" t="s">
        <v>18</v>
      </c>
      <c r="B2399" t="s">
        <v>160</v>
      </c>
    </row>
    <row r="2400" spans="1:6" x14ac:dyDescent="0.35">
      <c r="A2400" t="s">
        <v>81</v>
      </c>
      <c r="B2400" t="s">
        <v>11</v>
      </c>
    </row>
    <row r="2401" spans="1:7" x14ac:dyDescent="0.35">
      <c r="A2401" t="s">
        <v>7</v>
      </c>
    </row>
    <row r="2402" spans="1:7" x14ac:dyDescent="0.35">
      <c r="A2402" t="s">
        <v>138</v>
      </c>
      <c r="B2402" t="s">
        <v>227</v>
      </c>
      <c r="C2402" t="s">
        <v>139</v>
      </c>
      <c r="D2402" t="s">
        <v>140</v>
      </c>
      <c r="E2402" t="s">
        <v>141</v>
      </c>
      <c r="F2402" t="s">
        <v>142</v>
      </c>
      <c r="G2402" t="s">
        <v>124</v>
      </c>
    </row>
    <row r="2403" spans="1:7" x14ac:dyDescent="0.35">
      <c r="A2403" t="s">
        <v>11</v>
      </c>
      <c r="B2403" t="s">
        <v>107</v>
      </c>
    </row>
    <row r="2404" spans="1:7" x14ac:dyDescent="0.35">
      <c r="A2404" t="s">
        <v>50</v>
      </c>
      <c r="B2404" t="s">
        <v>51</v>
      </c>
      <c r="C2404" t="s">
        <v>52</v>
      </c>
    </row>
    <row r="2405" spans="1:7" x14ac:dyDescent="0.35">
      <c r="A2405" t="s">
        <v>4</v>
      </c>
    </row>
    <row r="2406" spans="1:7" x14ac:dyDescent="0.35">
      <c r="A2406" t="s">
        <v>64</v>
      </c>
      <c r="B2406" t="s">
        <v>65</v>
      </c>
      <c r="C2406" t="s">
        <v>66</v>
      </c>
      <c r="D2406" t="s">
        <v>18</v>
      </c>
      <c r="E2406" t="s">
        <v>67</v>
      </c>
      <c r="F2406" t="s">
        <v>68</v>
      </c>
    </row>
    <row r="2407" spans="1:7" x14ac:dyDescent="0.35">
      <c r="A2407" t="s">
        <v>11</v>
      </c>
    </row>
    <row r="2408" spans="1:7" x14ac:dyDescent="0.35">
      <c r="A2408" t="s">
        <v>15</v>
      </c>
    </row>
    <row r="2409" spans="1:7" x14ac:dyDescent="0.35">
      <c r="A2409" t="s">
        <v>17</v>
      </c>
    </row>
    <row r="2410" spans="1:7" x14ac:dyDescent="0.35">
      <c r="A2410" t="s">
        <v>50</v>
      </c>
      <c r="B2410" t="s">
        <v>51</v>
      </c>
      <c r="C2410" t="s">
        <v>52</v>
      </c>
    </row>
    <row r="2411" spans="1:7" x14ac:dyDescent="0.35">
      <c r="A2411" t="s">
        <v>10</v>
      </c>
    </row>
    <row r="2412" spans="1:7" x14ac:dyDescent="0.35">
      <c r="A2412" t="s">
        <v>50</v>
      </c>
      <c r="B2412" t="s">
        <v>51</v>
      </c>
      <c r="C2412" t="s">
        <v>52</v>
      </c>
      <c r="D2412" t="s">
        <v>63</v>
      </c>
    </row>
    <row r="2413" spans="1:7" x14ac:dyDescent="0.35">
      <c r="A2413" t="s">
        <v>56</v>
      </c>
      <c r="B2413" t="s">
        <v>57</v>
      </c>
      <c r="C2413" t="s">
        <v>132</v>
      </c>
      <c r="D2413" t="s">
        <v>99</v>
      </c>
    </row>
    <row r="2414" spans="1:7" x14ac:dyDescent="0.35">
      <c r="A2414" t="s">
        <v>195</v>
      </c>
      <c r="B2414" t="s">
        <v>1</v>
      </c>
    </row>
    <row r="2415" spans="1:7" x14ac:dyDescent="0.35">
      <c r="A2415" t="s">
        <v>96</v>
      </c>
      <c r="B2415" t="s">
        <v>176</v>
      </c>
      <c r="C2415" t="s">
        <v>66</v>
      </c>
      <c r="D2415" t="s">
        <v>18</v>
      </c>
      <c r="E2415" t="s">
        <v>67</v>
      </c>
      <c r="F2415" t="s">
        <v>68</v>
      </c>
    </row>
    <row r="2416" spans="1:7" x14ac:dyDescent="0.35">
      <c r="A2416" t="s">
        <v>50</v>
      </c>
      <c r="B2416" t="s">
        <v>51</v>
      </c>
      <c r="C2416" t="s">
        <v>82</v>
      </c>
      <c r="D2416" t="s">
        <v>52</v>
      </c>
      <c r="E2416" t="s">
        <v>77</v>
      </c>
      <c r="F2416" t="s">
        <v>83</v>
      </c>
      <c r="G2416" t="s">
        <v>84</v>
      </c>
    </row>
    <row r="2417" spans="1:9" x14ac:dyDescent="0.35">
      <c r="A2417" t="s">
        <v>9</v>
      </c>
    </row>
    <row r="2418" spans="1:9" x14ac:dyDescent="0.35">
      <c r="A2418" t="s">
        <v>126</v>
      </c>
      <c r="B2418" t="s">
        <v>127</v>
      </c>
    </row>
    <row r="2419" spans="1:9" x14ac:dyDescent="0.35">
      <c r="A2419" t="s">
        <v>96</v>
      </c>
      <c r="B2419" t="s">
        <v>18</v>
      </c>
    </row>
    <row r="2420" spans="1:9" x14ac:dyDescent="0.35">
      <c r="A2420" t="s">
        <v>93</v>
      </c>
      <c r="B2420" t="s">
        <v>50</v>
      </c>
      <c r="C2420" t="s">
        <v>51</v>
      </c>
      <c r="D2420" t="s">
        <v>52</v>
      </c>
      <c r="E2420" t="s">
        <v>94</v>
      </c>
      <c r="F2420" t="s">
        <v>77</v>
      </c>
      <c r="G2420" t="s">
        <v>95</v>
      </c>
    </row>
    <row r="2421" spans="1:9" x14ac:dyDescent="0.35">
      <c r="A2421" t="s">
        <v>10</v>
      </c>
    </row>
    <row r="2422" spans="1:9" x14ac:dyDescent="0.35">
      <c r="A2422" t="s">
        <v>16</v>
      </c>
      <c r="B2422" t="s">
        <v>8</v>
      </c>
    </row>
    <row r="2423" spans="1:9" x14ac:dyDescent="0.35">
      <c r="A2423" t="s">
        <v>4</v>
      </c>
    </row>
    <row r="2424" spans="1:9" x14ac:dyDescent="0.35">
      <c r="A2424" t="s">
        <v>12</v>
      </c>
    </row>
    <row r="2425" spans="1:9" x14ac:dyDescent="0.35">
      <c r="A2425" t="s">
        <v>64</v>
      </c>
      <c r="B2425" t="s">
        <v>66</v>
      </c>
      <c r="C2425" t="s">
        <v>18</v>
      </c>
      <c r="D2425" t="s">
        <v>67</v>
      </c>
      <c r="E2425" t="s">
        <v>68</v>
      </c>
    </row>
    <row r="2426" spans="1:9" x14ac:dyDescent="0.35">
      <c r="A2426" t="s">
        <v>195</v>
      </c>
      <c r="B2426" t="s">
        <v>1</v>
      </c>
    </row>
    <row r="2427" spans="1:9" x14ac:dyDescent="0.35">
      <c r="A2427" t="s">
        <v>18</v>
      </c>
      <c r="B2427" t="s">
        <v>178</v>
      </c>
    </row>
    <row r="2428" spans="1:9" x14ac:dyDescent="0.35">
      <c r="A2428" t="s">
        <v>12</v>
      </c>
    </row>
    <row r="2429" spans="1:9" x14ac:dyDescent="0.35">
      <c r="A2429" t="s">
        <v>96</v>
      </c>
      <c r="B2429" t="s">
        <v>18</v>
      </c>
    </row>
    <row r="2430" spans="1:9" x14ac:dyDescent="0.35">
      <c r="A2430" t="s">
        <v>64</v>
      </c>
      <c r="B2430" t="s">
        <v>66</v>
      </c>
      <c r="C2430" t="s">
        <v>18</v>
      </c>
      <c r="D2430" t="s">
        <v>67</v>
      </c>
      <c r="E2430" t="s">
        <v>68</v>
      </c>
    </row>
    <row r="2431" spans="1:9" x14ac:dyDescent="0.35">
      <c r="A2431" t="s">
        <v>100</v>
      </c>
      <c r="B2431" t="s">
        <v>101</v>
      </c>
      <c r="C2431" t="s">
        <v>102</v>
      </c>
    </row>
    <row r="2432" spans="1:9" x14ac:dyDescent="0.35">
      <c r="A2432" t="s">
        <v>138</v>
      </c>
      <c r="B2432" t="s">
        <v>139</v>
      </c>
      <c r="C2432" t="s">
        <v>140</v>
      </c>
      <c r="D2432" t="s">
        <v>141</v>
      </c>
      <c r="E2432" t="s">
        <v>142</v>
      </c>
      <c r="F2432" t="s">
        <v>124</v>
      </c>
      <c r="G2432" t="s">
        <v>143</v>
      </c>
      <c r="H2432" t="s">
        <v>144</v>
      </c>
      <c r="I2432" t="s">
        <v>145</v>
      </c>
    </row>
    <row r="2433" spans="1:6" x14ac:dyDescent="0.35">
      <c r="A2433" t="s">
        <v>39</v>
      </c>
    </row>
    <row r="2434" spans="1:6" x14ac:dyDescent="0.35">
      <c r="A2434" t="s">
        <v>64</v>
      </c>
      <c r="B2434" t="s">
        <v>65</v>
      </c>
      <c r="C2434" t="s">
        <v>66</v>
      </c>
      <c r="D2434" t="s">
        <v>18</v>
      </c>
      <c r="E2434" t="s">
        <v>67</v>
      </c>
      <c r="F2434" t="s">
        <v>68</v>
      </c>
    </row>
    <row r="2435" spans="1:6" x14ac:dyDescent="0.35">
      <c r="A2435" t="s">
        <v>1</v>
      </c>
    </row>
    <row r="2436" spans="1:6" x14ac:dyDescent="0.35">
      <c r="A2436" t="s">
        <v>1</v>
      </c>
    </row>
    <row r="2437" spans="1:6" x14ac:dyDescent="0.35">
      <c r="A2437" t="s">
        <v>18</v>
      </c>
    </row>
    <row r="2438" spans="1:6" x14ac:dyDescent="0.35">
      <c r="A2438" t="s">
        <v>17</v>
      </c>
    </row>
    <row r="2439" spans="1:6" x14ac:dyDescent="0.35">
      <c r="A2439" t="s">
        <v>1</v>
      </c>
    </row>
    <row r="2440" spans="1:6" x14ac:dyDescent="0.35">
      <c r="A2440" t="s">
        <v>64</v>
      </c>
      <c r="B2440" t="s">
        <v>65</v>
      </c>
      <c r="C2440" t="s">
        <v>66</v>
      </c>
      <c r="D2440" t="s">
        <v>18</v>
      </c>
      <c r="E2440" t="s">
        <v>67</v>
      </c>
      <c r="F2440" t="s">
        <v>68</v>
      </c>
    </row>
    <row r="2441" spans="1:6" x14ac:dyDescent="0.35">
      <c r="A2441" t="s">
        <v>11</v>
      </c>
    </row>
    <row r="2442" spans="1:6" x14ac:dyDescent="0.35">
      <c r="A2442" t="s">
        <v>17</v>
      </c>
    </row>
    <row r="2443" spans="1:6" x14ac:dyDescent="0.35">
      <c r="A2443" t="s">
        <v>4</v>
      </c>
    </row>
    <row r="2444" spans="1:6" x14ac:dyDescent="0.35">
      <c r="A2444" t="s">
        <v>96</v>
      </c>
      <c r="B2444" t="s">
        <v>18</v>
      </c>
    </row>
    <row r="2445" spans="1:6" x14ac:dyDescent="0.35">
      <c r="A2445" t="s">
        <v>105</v>
      </c>
      <c r="B2445" t="s">
        <v>14</v>
      </c>
    </row>
    <row r="2446" spans="1:6" x14ac:dyDescent="0.35">
      <c r="A2446" t="s">
        <v>8</v>
      </c>
    </row>
    <row r="2447" spans="1:6" x14ac:dyDescent="0.35">
      <c r="A2447" t="s">
        <v>50</v>
      </c>
      <c r="B2447" t="s">
        <v>51</v>
      </c>
      <c r="C2447" t="s">
        <v>52</v>
      </c>
      <c r="D2447" t="s">
        <v>60</v>
      </c>
      <c r="E2447" t="s">
        <v>61</v>
      </c>
    </row>
    <row r="2448" spans="1:6" x14ac:dyDescent="0.35">
      <c r="A2448" t="s">
        <v>126</v>
      </c>
      <c r="B2448" t="s">
        <v>127</v>
      </c>
    </row>
    <row r="2449" spans="1:7" x14ac:dyDescent="0.35">
      <c r="A2449" t="s">
        <v>93</v>
      </c>
      <c r="B2449" t="s">
        <v>50</v>
      </c>
      <c r="C2449" t="s">
        <v>51</v>
      </c>
      <c r="D2449" t="s">
        <v>52</v>
      </c>
      <c r="E2449" t="s">
        <v>94</v>
      </c>
      <c r="F2449" t="s">
        <v>77</v>
      </c>
      <c r="G2449" t="s">
        <v>95</v>
      </c>
    </row>
    <row r="2450" spans="1:7" x14ac:dyDescent="0.35">
      <c r="A2450" t="s">
        <v>1</v>
      </c>
    </row>
    <row r="2451" spans="1:7" x14ac:dyDescent="0.35">
      <c r="A2451" t="s">
        <v>18</v>
      </c>
      <c r="B2451" t="s">
        <v>228</v>
      </c>
    </row>
    <row r="2452" spans="1:7" x14ac:dyDescent="0.35">
      <c r="A2452" t="s">
        <v>195</v>
      </c>
      <c r="B2452" t="s">
        <v>1</v>
      </c>
    </row>
    <row r="2453" spans="1:7" x14ac:dyDescent="0.35">
      <c r="A2453" t="s">
        <v>64</v>
      </c>
      <c r="B2453" t="s">
        <v>65</v>
      </c>
      <c r="C2453" t="s">
        <v>66</v>
      </c>
      <c r="D2453" t="s">
        <v>18</v>
      </c>
      <c r="E2453" t="s">
        <v>67</v>
      </c>
      <c r="F2453" t="s">
        <v>68</v>
      </c>
    </row>
    <row r="2454" spans="1:7" x14ac:dyDescent="0.35">
      <c r="A2454" t="s">
        <v>64</v>
      </c>
      <c r="B2454" t="s">
        <v>66</v>
      </c>
      <c r="C2454" t="s">
        <v>18</v>
      </c>
      <c r="D2454" t="s">
        <v>67</v>
      </c>
      <c r="E2454" t="s">
        <v>68</v>
      </c>
    </row>
    <row r="2455" spans="1:7" x14ac:dyDescent="0.35">
      <c r="A2455" t="s">
        <v>7</v>
      </c>
    </row>
    <row r="2456" spans="1:7" x14ac:dyDescent="0.35">
      <c r="A2456" t="s">
        <v>229</v>
      </c>
      <c r="B2456" t="s">
        <v>230</v>
      </c>
      <c r="C2456" t="s">
        <v>231</v>
      </c>
    </row>
    <row r="2457" spans="1:7" x14ac:dyDescent="0.35">
      <c r="A2457" t="s">
        <v>15</v>
      </c>
    </row>
    <row r="2458" spans="1:7" x14ac:dyDescent="0.35">
      <c r="A2458" t="s">
        <v>24</v>
      </c>
    </row>
    <row r="2459" spans="1:7" x14ac:dyDescent="0.35">
      <c r="A2459" t="s">
        <v>115</v>
      </c>
      <c r="B2459" t="s">
        <v>11</v>
      </c>
    </row>
    <row r="2460" spans="1:7" x14ac:dyDescent="0.35">
      <c r="A2460" t="s">
        <v>18</v>
      </c>
      <c r="B2460" t="s">
        <v>130</v>
      </c>
    </row>
    <row r="2461" spans="1:7" x14ac:dyDescent="0.35">
      <c r="A2461" t="s">
        <v>3</v>
      </c>
    </row>
    <row r="2462" spans="1:7" x14ac:dyDescent="0.35">
      <c r="A2462" t="s">
        <v>3</v>
      </c>
    </row>
    <row r="2463" spans="1:7" x14ac:dyDescent="0.35">
      <c r="A2463" t="s">
        <v>109</v>
      </c>
      <c r="B2463" t="s">
        <v>110</v>
      </c>
      <c r="C2463" t="s">
        <v>111</v>
      </c>
    </row>
    <row r="2464" spans="1:7" x14ac:dyDescent="0.35">
      <c r="A2464" t="s">
        <v>50</v>
      </c>
      <c r="B2464" t="s">
        <v>51</v>
      </c>
      <c r="C2464" t="s">
        <v>52</v>
      </c>
      <c r="D2464" t="s">
        <v>72</v>
      </c>
      <c r="E2464" t="s">
        <v>73</v>
      </c>
    </row>
    <row r="2465" spans="1:6" x14ac:dyDescent="0.35">
      <c r="A2465" t="s">
        <v>64</v>
      </c>
      <c r="B2465" t="s">
        <v>65</v>
      </c>
      <c r="C2465" t="s">
        <v>66</v>
      </c>
      <c r="D2465" t="s">
        <v>18</v>
      </c>
      <c r="E2465" t="s">
        <v>67</v>
      </c>
      <c r="F2465" t="s">
        <v>68</v>
      </c>
    </row>
    <row r="2466" spans="1:6" x14ac:dyDescent="0.35">
      <c r="A2466" t="s">
        <v>7</v>
      </c>
    </row>
    <row r="2467" spans="1:6" x14ac:dyDescent="0.35">
      <c r="A2467" t="s">
        <v>64</v>
      </c>
      <c r="B2467" t="s">
        <v>65</v>
      </c>
      <c r="C2467" t="s">
        <v>66</v>
      </c>
      <c r="D2467" t="s">
        <v>18</v>
      </c>
      <c r="E2467" t="s">
        <v>67</v>
      </c>
      <c r="F2467" t="s">
        <v>68</v>
      </c>
    </row>
    <row r="2468" spans="1:6" x14ac:dyDescent="0.35">
      <c r="A2468" t="s">
        <v>64</v>
      </c>
      <c r="B2468" t="s">
        <v>66</v>
      </c>
      <c r="C2468" t="s">
        <v>18</v>
      </c>
      <c r="D2468" t="s">
        <v>67</v>
      </c>
      <c r="E2468" t="s">
        <v>68</v>
      </c>
    </row>
    <row r="2469" spans="1:6" x14ac:dyDescent="0.35">
      <c r="A2469" t="s">
        <v>2</v>
      </c>
    </row>
    <row r="2470" spans="1:6" x14ac:dyDescent="0.35">
      <c r="A2470" t="s">
        <v>64</v>
      </c>
      <c r="B2470" t="s">
        <v>18</v>
      </c>
    </row>
    <row r="2471" spans="1:6" x14ac:dyDescent="0.35">
      <c r="A2471" t="s">
        <v>50</v>
      </c>
      <c r="B2471" t="s">
        <v>51</v>
      </c>
      <c r="C2471" t="s">
        <v>52</v>
      </c>
      <c r="D2471" t="s">
        <v>63</v>
      </c>
    </row>
    <row r="2472" spans="1:6" x14ac:dyDescent="0.35">
      <c r="A2472" t="s">
        <v>151</v>
      </c>
      <c r="B2472" t="s">
        <v>152</v>
      </c>
      <c r="C2472" t="s">
        <v>153</v>
      </c>
    </row>
    <row r="2473" spans="1:6" x14ac:dyDescent="0.35">
      <c r="A2473" t="s">
        <v>64</v>
      </c>
      <c r="B2473" t="s">
        <v>66</v>
      </c>
      <c r="C2473" t="s">
        <v>18</v>
      </c>
      <c r="D2473" t="s">
        <v>67</v>
      </c>
      <c r="E2473" t="s">
        <v>68</v>
      </c>
    </row>
    <row r="2474" spans="1:6" x14ac:dyDescent="0.35">
      <c r="A2474" t="s">
        <v>7</v>
      </c>
    </row>
    <row r="2475" spans="1:6" x14ac:dyDescent="0.35">
      <c r="A2475" t="s">
        <v>30</v>
      </c>
    </row>
    <row r="2476" spans="1:6" x14ac:dyDescent="0.35">
      <c r="A2476" t="s">
        <v>64</v>
      </c>
      <c r="B2476" t="s">
        <v>65</v>
      </c>
      <c r="C2476" t="s">
        <v>158</v>
      </c>
      <c r="D2476" t="s">
        <v>18</v>
      </c>
    </row>
    <row r="2477" spans="1:6" x14ac:dyDescent="0.35">
      <c r="A2477" t="s">
        <v>1</v>
      </c>
      <c r="B2477" t="s">
        <v>87</v>
      </c>
      <c r="C2477" t="s">
        <v>133</v>
      </c>
    </row>
    <row r="2478" spans="1:6" x14ac:dyDescent="0.35">
      <c r="A2478" t="s">
        <v>6</v>
      </c>
    </row>
    <row r="2479" spans="1:6" x14ac:dyDescent="0.35">
      <c r="A2479" t="s">
        <v>12</v>
      </c>
    </row>
    <row r="2480" spans="1:6" x14ac:dyDescent="0.35">
      <c r="A2480" t="s">
        <v>50</v>
      </c>
      <c r="B2480" t="s">
        <v>51</v>
      </c>
      <c r="C2480" t="s">
        <v>52</v>
      </c>
    </row>
    <row r="2481" spans="1:7" x14ac:dyDescent="0.35">
      <c r="A2481" t="s">
        <v>50</v>
      </c>
      <c r="B2481" t="s">
        <v>51</v>
      </c>
      <c r="C2481" t="s">
        <v>52</v>
      </c>
      <c r="D2481" t="s">
        <v>63</v>
      </c>
    </row>
    <row r="2482" spans="1:7" x14ac:dyDescent="0.35">
      <c r="A2482" t="s">
        <v>66</v>
      </c>
      <c r="B2482" t="s">
        <v>67</v>
      </c>
      <c r="C2482" t="s">
        <v>68</v>
      </c>
    </row>
    <row r="2483" spans="1:7" x14ac:dyDescent="0.35">
      <c r="A2483" t="s">
        <v>10</v>
      </c>
    </row>
    <row r="2484" spans="1:7" x14ac:dyDescent="0.35">
      <c r="A2484" t="s">
        <v>50</v>
      </c>
      <c r="B2484" t="s">
        <v>51</v>
      </c>
      <c r="C2484" t="s">
        <v>52</v>
      </c>
    </row>
    <row r="2485" spans="1:7" x14ac:dyDescent="0.35">
      <c r="A2485" t="s">
        <v>18</v>
      </c>
    </row>
    <row r="2486" spans="1:7" x14ac:dyDescent="0.35">
      <c r="A2486" t="s">
        <v>11</v>
      </c>
    </row>
    <row r="2487" spans="1:7" x14ac:dyDescent="0.35">
      <c r="A2487" t="s">
        <v>93</v>
      </c>
      <c r="B2487" t="s">
        <v>50</v>
      </c>
      <c r="C2487" t="s">
        <v>51</v>
      </c>
      <c r="D2487" t="s">
        <v>52</v>
      </c>
      <c r="E2487" t="s">
        <v>94</v>
      </c>
      <c r="F2487" t="s">
        <v>77</v>
      </c>
      <c r="G2487" t="s">
        <v>95</v>
      </c>
    </row>
    <row r="2488" spans="1:7" x14ac:dyDescent="0.35">
      <c r="A2488" t="s">
        <v>1</v>
      </c>
    </row>
    <row r="2489" spans="1:7" x14ac:dyDescent="0.35">
      <c r="A2489" t="s">
        <v>64</v>
      </c>
      <c r="B2489" t="s">
        <v>66</v>
      </c>
      <c r="C2489" t="s">
        <v>18</v>
      </c>
      <c r="D2489" t="s">
        <v>67</v>
      </c>
      <c r="E2489" t="s">
        <v>68</v>
      </c>
    </row>
    <row r="2490" spans="1:7" x14ac:dyDescent="0.35">
      <c r="A2490" t="s">
        <v>1</v>
      </c>
      <c r="B2490" t="s">
        <v>87</v>
      </c>
      <c r="C2490" t="s">
        <v>217</v>
      </c>
      <c r="D2490" t="s">
        <v>181</v>
      </c>
    </row>
    <row r="2491" spans="1:7" x14ac:dyDescent="0.35">
      <c r="A2491" t="s">
        <v>96</v>
      </c>
      <c r="B2491" t="s">
        <v>18</v>
      </c>
    </row>
    <row r="2492" spans="1:7" x14ac:dyDescent="0.35">
      <c r="A2492" t="s">
        <v>100</v>
      </c>
      <c r="B2492" t="s">
        <v>101</v>
      </c>
      <c r="C2492" t="s">
        <v>102</v>
      </c>
    </row>
    <row r="2493" spans="1:7" x14ac:dyDescent="0.35">
      <c r="A2493" t="s">
        <v>56</v>
      </c>
      <c r="B2493" t="s">
        <v>57</v>
      </c>
    </row>
    <row r="2494" spans="1:7" x14ac:dyDescent="0.35">
      <c r="A2494" t="s">
        <v>15</v>
      </c>
    </row>
    <row r="2495" spans="1:7" x14ac:dyDescent="0.35">
      <c r="A2495" t="s">
        <v>50</v>
      </c>
      <c r="B2495" t="s">
        <v>51</v>
      </c>
      <c r="C2495" t="s">
        <v>52</v>
      </c>
      <c r="D2495" t="s">
        <v>63</v>
      </c>
    </row>
    <row r="2496" spans="1:7" x14ac:dyDescent="0.35">
      <c r="A2496" t="s">
        <v>50</v>
      </c>
      <c r="B2496" t="s">
        <v>51</v>
      </c>
      <c r="C2496" t="s">
        <v>52</v>
      </c>
    </row>
    <row r="2497" spans="1:6" x14ac:dyDescent="0.35">
      <c r="A2497" t="s">
        <v>12</v>
      </c>
    </row>
    <row r="2498" spans="1:6" x14ac:dyDescent="0.35">
      <c r="A2498" t="s">
        <v>11</v>
      </c>
    </row>
    <row r="2499" spans="1:6" x14ac:dyDescent="0.35">
      <c r="A2499" t="s">
        <v>20</v>
      </c>
    </row>
    <row r="2500" spans="1:6" x14ac:dyDescent="0.35">
      <c r="A2500" t="s">
        <v>18</v>
      </c>
      <c r="B2500" t="s">
        <v>160</v>
      </c>
    </row>
    <row r="2501" spans="1:6" x14ac:dyDescent="0.35">
      <c r="A2501" t="s">
        <v>1</v>
      </c>
    </row>
    <row r="2502" spans="1:6" x14ac:dyDescent="0.35">
      <c r="A2502" t="s">
        <v>64</v>
      </c>
      <c r="B2502" t="s">
        <v>66</v>
      </c>
      <c r="C2502" t="s">
        <v>18</v>
      </c>
      <c r="D2502" t="s">
        <v>67</v>
      </c>
      <c r="E2502" t="s">
        <v>68</v>
      </c>
    </row>
    <row r="2503" spans="1:6" x14ac:dyDescent="0.35">
      <c r="A2503" t="s">
        <v>96</v>
      </c>
      <c r="B2503" t="s">
        <v>176</v>
      </c>
      <c r="C2503" t="s">
        <v>66</v>
      </c>
      <c r="D2503" t="s">
        <v>18</v>
      </c>
      <c r="E2503" t="s">
        <v>67</v>
      </c>
      <c r="F2503" t="s">
        <v>68</v>
      </c>
    </row>
    <row r="2504" spans="1:6" x14ac:dyDescent="0.35">
      <c r="A2504" t="s">
        <v>1</v>
      </c>
      <c r="B2504" t="s">
        <v>87</v>
      </c>
    </row>
    <row r="2505" spans="1:6" x14ac:dyDescent="0.35">
      <c r="A2505" t="s">
        <v>7</v>
      </c>
    </row>
    <row r="2506" spans="1:6" x14ac:dyDescent="0.35">
      <c r="A2506" t="s">
        <v>12</v>
      </c>
    </row>
    <row r="2507" spans="1:6" x14ac:dyDescent="0.35">
      <c r="A2507" t="s">
        <v>11</v>
      </c>
    </row>
    <row r="2508" spans="1:6" x14ac:dyDescent="0.35">
      <c r="A2508" t="s">
        <v>8</v>
      </c>
    </row>
    <row r="2509" spans="1:6" x14ac:dyDescent="0.35">
      <c r="A2509" t="s">
        <v>18</v>
      </c>
      <c r="B2509" t="s">
        <v>130</v>
      </c>
    </row>
    <row r="2510" spans="1:6" x14ac:dyDescent="0.35">
      <c r="A2510" t="s">
        <v>12</v>
      </c>
    </row>
    <row r="2511" spans="1:6" x14ac:dyDescent="0.35">
      <c r="A2511" t="s">
        <v>10</v>
      </c>
    </row>
    <row r="2512" spans="1:6" x14ac:dyDescent="0.35">
      <c r="A2512" t="s">
        <v>7</v>
      </c>
    </row>
    <row r="2513" spans="1:9" x14ac:dyDescent="0.35">
      <c r="A2513" t="s">
        <v>50</v>
      </c>
      <c r="B2513" t="s">
        <v>51</v>
      </c>
      <c r="C2513" t="s">
        <v>52</v>
      </c>
      <c r="D2513" t="s">
        <v>77</v>
      </c>
      <c r="E2513" t="s">
        <v>116</v>
      </c>
    </row>
    <row r="2514" spans="1:9" x14ac:dyDescent="0.35">
      <c r="A2514" t="s">
        <v>11</v>
      </c>
    </row>
    <row r="2515" spans="1:9" x14ac:dyDescent="0.35">
      <c r="A2515" t="s">
        <v>115</v>
      </c>
      <c r="B2515" t="s">
        <v>11</v>
      </c>
    </row>
    <row r="2516" spans="1:9" x14ac:dyDescent="0.35">
      <c r="A2516" t="s">
        <v>126</v>
      </c>
      <c r="B2516" t="s">
        <v>127</v>
      </c>
    </row>
    <row r="2517" spans="1:9" x14ac:dyDescent="0.35">
      <c r="A2517" t="s">
        <v>64</v>
      </c>
      <c r="B2517" t="s">
        <v>66</v>
      </c>
      <c r="C2517" t="s">
        <v>18</v>
      </c>
      <c r="D2517" t="s">
        <v>67</v>
      </c>
      <c r="E2517" t="s">
        <v>68</v>
      </c>
    </row>
    <row r="2518" spans="1:9" x14ac:dyDescent="0.35">
      <c r="A2518" t="s">
        <v>96</v>
      </c>
      <c r="B2518" t="s">
        <v>18</v>
      </c>
    </row>
    <row r="2519" spans="1:9" x14ac:dyDescent="0.35">
      <c r="A2519" t="s">
        <v>31</v>
      </c>
    </row>
    <row r="2520" spans="1:9" x14ac:dyDescent="0.35">
      <c r="A2520" t="s">
        <v>100</v>
      </c>
      <c r="B2520" t="s">
        <v>101</v>
      </c>
      <c r="C2520" t="s">
        <v>102</v>
      </c>
    </row>
    <row r="2521" spans="1:9" x14ac:dyDescent="0.35">
      <c r="A2521" t="s">
        <v>138</v>
      </c>
      <c r="B2521" t="s">
        <v>139</v>
      </c>
      <c r="C2521" t="s">
        <v>140</v>
      </c>
      <c r="D2521" t="s">
        <v>141</v>
      </c>
      <c r="E2521" t="s">
        <v>142</v>
      </c>
      <c r="F2521" t="s">
        <v>124</v>
      </c>
      <c r="G2521" t="s">
        <v>143</v>
      </c>
      <c r="H2521" t="s">
        <v>144</v>
      </c>
      <c r="I2521" t="s">
        <v>145</v>
      </c>
    </row>
    <row r="2522" spans="1:9" x14ac:dyDescent="0.35">
      <c r="A2522" t="s">
        <v>10</v>
      </c>
    </row>
    <row r="2523" spans="1:9" x14ac:dyDescent="0.35">
      <c r="A2523" t="s">
        <v>7</v>
      </c>
    </row>
    <row r="2524" spans="1:9" x14ac:dyDescent="0.35">
      <c r="A2524" t="s">
        <v>96</v>
      </c>
      <c r="B2524" t="s">
        <v>18</v>
      </c>
    </row>
    <row r="2525" spans="1:9" x14ac:dyDescent="0.35">
      <c r="A2525" t="s">
        <v>50</v>
      </c>
      <c r="B2525" t="s">
        <v>51</v>
      </c>
      <c r="C2525" t="s">
        <v>52</v>
      </c>
      <c r="D2525" t="s">
        <v>72</v>
      </c>
      <c r="E2525" t="s">
        <v>73</v>
      </c>
      <c r="F2525" t="s">
        <v>113</v>
      </c>
    </row>
    <row r="2526" spans="1:9" x14ac:dyDescent="0.35">
      <c r="A2526" t="s">
        <v>3</v>
      </c>
    </row>
    <row r="2527" spans="1:9" x14ac:dyDescent="0.35">
      <c r="A2527" t="s">
        <v>64</v>
      </c>
      <c r="B2527" t="s">
        <v>66</v>
      </c>
      <c r="C2527" t="s">
        <v>18</v>
      </c>
      <c r="D2527" t="s">
        <v>67</v>
      </c>
      <c r="E2527" t="s">
        <v>68</v>
      </c>
    </row>
    <row r="2528" spans="1:9" x14ac:dyDescent="0.35">
      <c r="A2528" t="s">
        <v>18</v>
      </c>
      <c r="B2528" t="s">
        <v>130</v>
      </c>
    </row>
    <row r="2529" spans="1:4" x14ac:dyDescent="0.35">
      <c r="A2529" t="s">
        <v>162</v>
      </c>
      <c r="B2529" t="s">
        <v>124</v>
      </c>
    </row>
    <row r="2530" spans="1:4" x14ac:dyDescent="0.35">
      <c r="A2530" t="s">
        <v>50</v>
      </c>
      <c r="B2530" t="s">
        <v>51</v>
      </c>
      <c r="C2530" t="s">
        <v>52</v>
      </c>
    </row>
    <row r="2531" spans="1:4" x14ac:dyDescent="0.35">
      <c r="A2531" t="s">
        <v>12</v>
      </c>
    </row>
    <row r="2532" spans="1:4" x14ac:dyDescent="0.35">
      <c r="A2532" t="s">
        <v>1</v>
      </c>
    </row>
    <row r="2533" spans="1:4" x14ac:dyDescent="0.35">
      <c r="A2533" t="s">
        <v>50</v>
      </c>
      <c r="B2533" t="s">
        <v>51</v>
      </c>
      <c r="C2533" t="s">
        <v>52</v>
      </c>
    </row>
    <row r="2534" spans="1:4" x14ac:dyDescent="0.35">
      <c r="A2534" t="s">
        <v>13</v>
      </c>
    </row>
    <row r="2535" spans="1:4" x14ac:dyDescent="0.35">
      <c r="A2535" t="s">
        <v>50</v>
      </c>
      <c r="B2535" t="s">
        <v>51</v>
      </c>
      <c r="C2535" t="s">
        <v>52</v>
      </c>
      <c r="D2535" t="s">
        <v>63</v>
      </c>
    </row>
    <row r="2536" spans="1:4" x14ac:dyDescent="0.35">
      <c r="A2536" t="s">
        <v>50</v>
      </c>
      <c r="B2536" t="s">
        <v>51</v>
      </c>
      <c r="C2536" t="s">
        <v>52</v>
      </c>
      <c r="D2536" t="s">
        <v>63</v>
      </c>
    </row>
    <row r="2537" spans="1:4" x14ac:dyDescent="0.35">
      <c r="A2537" t="s">
        <v>96</v>
      </c>
      <c r="B2537" t="s">
        <v>18</v>
      </c>
    </row>
    <row r="2538" spans="1:4" x14ac:dyDescent="0.35">
      <c r="A2538" t="s">
        <v>12</v>
      </c>
    </row>
    <row r="2539" spans="1:4" x14ac:dyDescent="0.35">
      <c r="A2539" t="s">
        <v>7</v>
      </c>
    </row>
    <row r="2540" spans="1:4" x14ac:dyDescent="0.35">
      <c r="A2540" t="s">
        <v>56</v>
      </c>
      <c r="B2540" t="s">
        <v>57</v>
      </c>
    </row>
    <row r="2541" spans="1:4" x14ac:dyDescent="0.35">
      <c r="A2541" t="s">
        <v>11</v>
      </c>
    </row>
    <row r="2542" spans="1:4" x14ac:dyDescent="0.35">
      <c r="A2542" t="s">
        <v>96</v>
      </c>
      <c r="B2542" t="s">
        <v>18</v>
      </c>
    </row>
    <row r="2543" spans="1:4" x14ac:dyDescent="0.35">
      <c r="A2543" t="s">
        <v>96</v>
      </c>
      <c r="B2543" t="s">
        <v>18</v>
      </c>
    </row>
    <row r="2544" spans="1:4" x14ac:dyDescent="0.35">
      <c r="A2544" t="s">
        <v>18</v>
      </c>
      <c r="B2544" t="s">
        <v>130</v>
      </c>
    </row>
    <row r="2545" spans="1:5" x14ac:dyDescent="0.35">
      <c r="A2545" t="s">
        <v>81</v>
      </c>
      <c r="B2545" t="s">
        <v>11</v>
      </c>
    </row>
    <row r="2546" spans="1:5" x14ac:dyDescent="0.35">
      <c r="A2546" t="s">
        <v>16</v>
      </c>
      <c r="B2546" t="s">
        <v>8</v>
      </c>
    </row>
    <row r="2547" spans="1:5" x14ac:dyDescent="0.35">
      <c r="A2547" t="s">
        <v>1</v>
      </c>
    </row>
    <row r="2548" spans="1:5" x14ac:dyDescent="0.35">
      <c r="A2548" t="s">
        <v>100</v>
      </c>
      <c r="B2548" t="s">
        <v>101</v>
      </c>
      <c r="C2548" t="s">
        <v>102</v>
      </c>
    </row>
    <row r="2549" spans="1:5" x14ac:dyDescent="0.35">
      <c r="A2549" t="s">
        <v>56</v>
      </c>
      <c r="B2549" t="s">
        <v>57</v>
      </c>
    </row>
    <row r="2550" spans="1:5" x14ac:dyDescent="0.35">
      <c r="A2550" t="s">
        <v>139</v>
      </c>
      <c r="B2550" t="s">
        <v>140</v>
      </c>
      <c r="C2550" t="s">
        <v>141</v>
      </c>
      <c r="D2550" t="s">
        <v>142</v>
      </c>
      <c r="E2550" t="s">
        <v>124</v>
      </c>
    </row>
    <row r="2551" spans="1:5" x14ac:dyDescent="0.35">
      <c r="A2551" t="s">
        <v>1</v>
      </c>
      <c r="B2551" t="s">
        <v>87</v>
      </c>
      <c r="C2551" t="s">
        <v>170</v>
      </c>
    </row>
    <row r="2552" spans="1:5" x14ac:dyDescent="0.35">
      <c r="A2552" t="s">
        <v>8</v>
      </c>
    </row>
    <row r="2553" spans="1:5" x14ac:dyDescent="0.35">
      <c r="A2553" t="s">
        <v>81</v>
      </c>
      <c r="B2553" t="s">
        <v>11</v>
      </c>
    </row>
    <row r="2554" spans="1:5" x14ac:dyDescent="0.35">
      <c r="A2554" t="s">
        <v>56</v>
      </c>
      <c r="B2554" t="s">
        <v>57</v>
      </c>
      <c r="C2554" t="s">
        <v>132</v>
      </c>
      <c r="D2554" t="s">
        <v>99</v>
      </c>
    </row>
    <row r="2555" spans="1:5" x14ac:dyDescent="0.35">
      <c r="A2555" t="s">
        <v>64</v>
      </c>
      <c r="B2555" t="s">
        <v>66</v>
      </c>
      <c r="C2555" t="s">
        <v>18</v>
      </c>
      <c r="D2555" t="s">
        <v>67</v>
      </c>
      <c r="E2555" t="s">
        <v>68</v>
      </c>
    </row>
    <row r="2556" spans="1:5" x14ac:dyDescent="0.35">
      <c r="A2556" t="s">
        <v>96</v>
      </c>
      <c r="B2556" t="s">
        <v>18</v>
      </c>
    </row>
    <row r="2557" spans="1:5" x14ac:dyDescent="0.35">
      <c r="A2557" t="s">
        <v>18</v>
      </c>
      <c r="B2557" t="s">
        <v>160</v>
      </c>
    </row>
    <row r="2558" spans="1:5" x14ac:dyDescent="0.35">
      <c r="A2558" t="s">
        <v>10</v>
      </c>
    </row>
    <row r="2559" spans="1:5" x14ac:dyDescent="0.35">
      <c r="A2559" t="s">
        <v>50</v>
      </c>
      <c r="B2559" t="s">
        <v>51</v>
      </c>
      <c r="C2559" t="s">
        <v>52</v>
      </c>
      <c r="D2559" t="s">
        <v>63</v>
      </c>
    </row>
    <row r="2560" spans="1:5" x14ac:dyDescent="0.35">
      <c r="A2560" t="s">
        <v>64</v>
      </c>
      <c r="B2560" t="s">
        <v>18</v>
      </c>
    </row>
    <row r="2561" spans="1:7" x14ac:dyDescent="0.35">
      <c r="A2561" t="s">
        <v>8</v>
      </c>
    </row>
    <row r="2562" spans="1:7" x14ac:dyDescent="0.35">
      <c r="A2562" t="s">
        <v>7</v>
      </c>
    </row>
    <row r="2563" spans="1:7" x14ac:dyDescent="0.35">
      <c r="A2563" t="s">
        <v>11</v>
      </c>
    </row>
    <row r="2564" spans="1:7" x14ac:dyDescent="0.35">
      <c r="A2564" t="s">
        <v>1</v>
      </c>
      <c r="B2564" t="s">
        <v>87</v>
      </c>
    </row>
    <row r="2565" spans="1:7" x14ac:dyDescent="0.35">
      <c r="A2565" t="s">
        <v>12</v>
      </c>
    </row>
    <row r="2566" spans="1:7" x14ac:dyDescent="0.35">
      <c r="A2566" t="s">
        <v>50</v>
      </c>
      <c r="B2566" t="s">
        <v>51</v>
      </c>
      <c r="C2566" t="s">
        <v>82</v>
      </c>
      <c r="D2566" t="s">
        <v>52</v>
      </c>
      <c r="E2566" t="s">
        <v>77</v>
      </c>
      <c r="F2566" t="s">
        <v>83</v>
      </c>
      <c r="G2566" t="s">
        <v>84</v>
      </c>
    </row>
    <row r="2567" spans="1:7" x14ac:dyDescent="0.35">
      <c r="A2567" t="s">
        <v>12</v>
      </c>
    </row>
    <row r="2568" spans="1:7" x14ac:dyDescent="0.35">
      <c r="A2568" t="s">
        <v>7</v>
      </c>
    </row>
    <row r="2569" spans="1:7" x14ac:dyDescent="0.35">
      <c r="A2569" t="s">
        <v>12</v>
      </c>
    </row>
    <row r="2570" spans="1:7" x14ac:dyDescent="0.35">
      <c r="A2570" t="s">
        <v>108</v>
      </c>
      <c r="B2570" t="s">
        <v>11</v>
      </c>
    </row>
    <row r="2571" spans="1:7" x14ac:dyDescent="0.35">
      <c r="A2571" t="s">
        <v>29</v>
      </c>
      <c r="B2571" t="s">
        <v>207</v>
      </c>
      <c r="C2571" t="s">
        <v>167</v>
      </c>
      <c r="D2571" t="s">
        <v>208</v>
      </c>
      <c r="E2571" t="s">
        <v>168</v>
      </c>
    </row>
    <row r="2572" spans="1:7" x14ac:dyDescent="0.35">
      <c r="A2572" t="s">
        <v>18</v>
      </c>
      <c r="B2572" t="s">
        <v>160</v>
      </c>
      <c r="C2572" t="s">
        <v>232</v>
      </c>
    </row>
    <row r="2573" spans="1:7" x14ac:dyDescent="0.35">
      <c r="A2573" t="s">
        <v>115</v>
      </c>
      <c r="B2573" t="s">
        <v>11</v>
      </c>
    </row>
    <row r="2574" spans="1:7" x14ac:dyDescent="0.35">
      <c r="A2574" t="s">
        <v>64</v>
      </c>
      <c r="B2574" t="s">
        <v>65</v>
      </c>
      <c r="C2574" t="s">
        <v>66</v>
      </c>
      <c r="D2574" t="s">
        <v>18</v>
      </c>
      <c r="E2574" t="s">
        <v>67</v>
      </c>
      <c r="F2574" t="s">
        <v>68</v>
      </c>
    </row>
    <row r="2575" spans="1:7" x14ac:dyDescent="0.35">
      <c r="A2575" t="s">
        <v>24</v>
      </c>
    </row>
    <row r="2576" spans="1:7" x14ac:dyDescent="0.35">
      <c r="A2576" t="s">
        <v>7</v>
      </c>
    </row>
    <row r="2577" spans="1:6" x14ac:dyDescent="0.35">
      <c r="A2577" t="s">
        <v>64</v>
      </c>
      <c r="B2577" t="s">
        <v>65</v>
      </c>
      <c r="C2577" t="s">
        <v>66</v>
      </c>
      <c r="D2577" t="s">
        <v>18</v>
      </c>
      <c r="E2577" t="s">
        <v>67</v>
      </c>
      <c r="F2577" t="s">
        <v>68</v>
      </c>
    </row>
    <row r="2578" spans="1:6" x14ac:dyDescent="0.35">
      <c r="A2578" t="s">
        <v>138</v>
      </c>
      <c r="B2578" t="s">
        <v>139</v>
      </c>
      <c r="C2578" t="s">
        <v>140</v>
      </c>
      <c r="D2578" t="s">
        <v>141</v>
      </c>
      <c r="E2578" t="s">
        <v>142</v>
      </c>
      <c r="F2578" t="s">
        <v>124</v>
      </c>
    </row>
    <row r="2579" spans="1:6" x14ac:dyDescent="0.35">
      <c r="A2579" t="s">
        <v>96</v>
      </c>
      <c r="B2579" t="s">
        <v>18</v>
      </c>
    </row>
    <row r="2580" spans="1:6" x14ac:dyDescent="0.35">
      <c r="A2580" t="s">
        <v>1</v>
      </c>
      <c r="B2580" t="s">
        <v>87</v>
      </c>
      <c r="C2580" t="s">
        <v>133</v>
      </c>
    </row>
    <row r="2581" spans="1:6" x14ac:dyDescent="0.35">
      <c r="A2581" t="s">
        <v>6</v>
      </c>
    </row>
    <row r="2582" spans="1:6" x14ac:dyDescent="0.35">
      <c r="A2582" t="s">
        <v>19</v>
      </c>
    </row>
    <row r="2583" spans="1:6" x14ac:dyDescent="0.35">
      <c r="A2583" t="s">
        <v>81</v>
      </c>
      <c r="B2583" t="s">
        <v>11</v>
      </c>
    </row>
    <row r="2584" spans="1:6" x14ac:dyDescent="0.35">
      <c r="A2584" t="s">
        <v>167</v>
      </c>
      <c r="B2584" t="s">
        <v>168</v>
      </c>
      <c r="C2584" t="s">
        <v>169</v>
      </c>
      <c r="D2584" t="s">
        <v>233</v>
      </c>
    </row>
    <row r="2585" spans="1:6" x14ac:dyDescent="0.35">
      <c r="A2585" t="s">
        <v>100</v>
      </c>
      <c r="B2585" t="s">
        <v>101</v>
      </c>
      <c r="C2585" t="s">
        <v>102</v>
      </c>
    </row>
    <row r="2586" spans="1:6" x14ac:dyDescent="0.35">
      <c r="A2586" t="s">
        <v>10</v>
      </c>
    </row>
    <row r="2587" spans="1:6" x14ac:dyDescent="0.35">
      <c r="A2587" t="s">
        <v>64</v>
      </c>
      <c r="B2587" t="s">
        <v>65</v>
      </c>
      <c r="C2587" t="s">
        <v>66</v>
      </c>
      <c r="D2587" t="s">
        <v>18</v>
      </c>
      <c r="E2587" t="s">
        <v>67</v>
      </c>
      <c r="F2587" t="s">
        <v>68</v>
      </c>
    </row>
    <row r="2588" spans="1:6" x14ac:dyDescent="0.35">
      <c r="A2588" t="s">
        <v>7</v>
      </c>
    </row>
    <row r="2589" spans="1:6" x14ac:dyDescent="0.35">
      <c r="A2589" t="s">
        <v>100</v>
      </c>
      <c r="B2589" t="s">
        <v>101</v>
      </c>
      <c r="C2589" t="s">
        <v>102</v>
      </c>
    </row>
    <row r="2590" spans="1:6" x14ac:dyDescent="0.35">
      <c r="A2590" t="s">
        <v>50</v>
      </c>
      <c r="B2590" t="s">
        <v>51</v>
      </c>
      <c r="C2590" t="s">
        <v>52</v>
      </c>
      <c r="D2590" t="s">
        <v>63</v>
      </c>
    </row>
    <row r="2591" spans="1:6" x14ac:dyDescent="0.35">
      <c r="A2591" t="s">
        <v>1</v>
      </c>
      <c r="B2591" t="s">
        <v>87</v>
      </c>
      <c r="C2591" t="s">
        <v>131</v>
      </c>
    </row>
    <row r="2592" spans="1:6" x14ac:dyDescent="0.35">
      <c r="A2592" t="s">
        <v>7</v>
      </c>
    </row>
    <row r="2593" spans="1:6" x14ac:dyDescent="0.35">
      <c r="A2593" t="s">
        <v>10</v>
      </c>
    </row>
    <row r="2594" spans="1:6" x14ac:dyDescent="0.35">
      <c r="A2594" t="s">
        <v>50</v>
      </c>
      <c r="B2594" t="s">
        <v>51</v>
      </c>
      <c r="C2594" t="s">
        <v>52</v>
      </c>
      <c r="D2594" t="s">
        <v>85</v>
      </c>
    </row>
    <row r="2595" spans="1:6" x14ac:dyDescent="0.35">
      <c r="A2595" t="s">
        <v>109</v>
      </c>
      <c r="B2595" t="s">
        <v>110</v>
      </c>
      <c r="C2595" t="s">
        <v>111</v>
      </c>
    </row>
    <row r="2596" spans="1:6" x14ac:dyDescent="0.35">
      <c r="A2596" t="s">
        <v>96</v>
      </c>
      <c r="B2596" t="s">
        <v>18</v>
      </c>
    </row>
    <row r="2597" spans="1:6" x14ac:dyDescent="0.35">
      <c r="A2597" t="s">
        <v>50</v>
      </c>
      <c r="B2597" t="s">
        <v>51</v>
      </c>
      <c r="C2597" t="s">
        <v>52</v>
      </c>
      <c r="D2597" t="s">
        <v>63</v>
      </c>
    </row>
    <row r="2598" spans="1:6" x14ac:dyDescent="0.35">
      <c r="A2598" t="s">
        <v>11</v>
      </c>
    </row>
    <row r="2599" spans="1:6" x14ac:dyDescent="0.35">
      <c r="A2599" t="s">
        <v>23</v>
      </c>
    </row>
    <row r="2600" spans="1:6" x14ac:dyDescent="0.35">
      <c r="A2600" t="s">
        <v>9</v>
      </c>
    </row>
    <row r="2601" spans="1:6" x14ac:dyDescent="0.35">
      <c r="A2601" t="s">
        <v>1</v>
      </c>
    </row>
    <row r="2602" spans="1:6" x14ac:dyDescent="0.35">
      <c r="A2602" t="s">
        <v>64</v>
      </c>
      <c r="B2602" t="s">
        <v>65</v>
      </c>
      <c r="C2602" t="s">
        <v>66</v>
      </c>
      <c r="D2602" t="s">
        <v>18</v>
      </c>
      <c r="E2602" t="s">
        <v>67</v>
      </c>
      <c r="F2602" t="s">
        <v>68</v>
      </c>
    </row>
    <row r="2603" spans="1:6" x14ac:dyDescent="0.35">
      <c r="A2603" t="s">
        <v>50</v>
      </c>
      <c r="B2603" t="s">
        <v>51</v>
      </c>
      <c r="C2603" t="s">
        <v>52</v>
      </c>
      <c r="D2603" t="s">
        <v>60</v>
      </c>
      <c r="E2603" t="s">
        <v>61</v>
      </c>
    </row>
    <row r="2604" spans="1:6" x14ac:dyDescent="0.35">
      <c r="A2604" t="s">
        <v>1</v>
      </c>
      <c r="B2604" t="s">
        <v>87</v>
      </c>
      <c r="C2604" t="s">
        <v>186</v>
      </c>
    </row>
    <row r="2605" spans="1:6" x14ac:dyDescent="0.35">
      <c r="A2605" t="s">
        <v>50</v>
      </c>
      <c r="B2605" t="s">
        <v>51</v>
      </c>
      <c r="C2605" t="s">
        <v>52</v>
      </c>
      <c r="D2605" t="s">
        <v>63</v>
      </c>
    </row>
    <row r="2606" spans="1:6" x14ac:dyDescent="0.35">
      <c r="A2606" t="s">
        <v>22</v>
      </c>
    </row>
    <row r="2607" spans="1:6" x14ac:dyDescent="0.35">
      <c r="A2607" t="s">
        <v>50</v>
      </c>
      <c r="B2607" t="s">
        <v>51</v>
      </c>
      <c r="C2607" t="s">
        <v>52</v>
      </c>
      <c r="D2607" t="s">
        <v>77</v>
      </c>
      <c r="E2607" t="s">
        <v>83</v>
      </c>
      <c r="F2607" t="s">
        <v>84</v>
      </c>
    </row>
    <row r="2608" spans="1:6" x14ac:dyDescent="0.35">
      <c r="A2608" t="s">
        <v>50</v>
      </c>
      <c r="B2608" t="s">
        <v>51</v>
      </c>
      <c r="C2608" t="s">
        <v>52</v>
      </c>
      <c r="D2608" t="s">
        <v>61</v>
      </c>
    </row>
    <row r="2609" spans="1:7" x14ac:dyDescent="0.35">
      <c r="A2609" t="s">
        <v>11</v>
      </c>
    </row>
    <row r="2610" spans="1:7" x14ac:dyDescent="0.35">
      <c r="A2610" t="s">
        <v>96</v>
      </c>
      <c r="B2610" t="s">
        <v>18</v>
      </c>
    </row>
    <row r="2611" spans="1:7" x14ac:dyDescent="0.35">
      <c r="A2611" t="s">
        <v>24</v>
      </c>
    </row>
    <row r="2612" spans="1:7" x14ac:dyDescent="0.35">
      <c r="A2612" t="s">
        <v>3</v>
      </c>
    </row>
    <row r="2613" spans="1:7" x14ac:dyDescent="0.35">
      <c r="A2613" t="s">
        <v>17</v>
      </c>
    </row>
    <row r="2614" spans="1:7" x14ac:dyDescent="0.35">
      <c r="A2614" t="s">
        <v>93</v>
      </c>
      <c r="B2614" t="s">
        <v>50</v>
      </c>
      <c r="C2614" t="s">
        <v>51</v>
      </c>
      <c r="D2614" t="s">
        <v>52</v>
      </c>
      <c r="E2614" t="s">
        <v>94</v>
      </c>
      <c r="F2614" t="s">
        <v>77</v>
      </c>
      <c r="G2614" t="s">
        <v>95</v>
      </c>
    </row>
    <row r="2615" spans="1:7" x14ac:dyDescent="0.35">
      <c r="A2615" t="s">
        <v>81</v>
      </c>
      <c r="B2615" t="s">
        <v>11</v>
      </c>
    </row>
    <row r="2616" spans="1:7" x14ac:dyDescent="0.35">
      <c r="A2616" t="s">
        <v>12</v>
      </c>
    </row>
    <row r="2617" spans="1:7" x14ac:dyDescent="0.35">
      <c r="A2617" t="s">
        <v>7</v>
      </c>
    </row>
    <row r="2618" spans="1:7" x14ac:dyDescent="0.35">
      <c r="A2618" t="s">
        <v>64</v>
      </c>
      <c r="B2618" t="s">
        <v>65</v>
      </c>
      <c r="C2618" t="s">
        <v>66</v>
      </c>
      <c r="D2618" t="s">
        <v>18</v>
      </c>
      <c r="E2618" t="s">
        <v>67</v>
      </c>
      <c r="F2618" t="s">
        <v>68</v>
      </c>
    </row>
    <row r="2619" spans="1:7" x14ac:dyDescent="0.35">
      <c r="A2619" t="s">
        <v>56</v>
      </c>
      <c r="B2619" t="s">
        <v>57</v>
      </c>
    </row>
    <row r="2620" spans="1:7" x14ac:dyDescent="0.35">
      <c r="A2620" t="s">
        <v>11</v>
      </c>
    </row>
    <row r="2621" spans="1:7" x14ac:dyDescent="0.35">
      <c r="A2621" t="s">
        <v>155</v>
      </c>
      <c r="B2621" t="s">
        <v>156</v>
      </c>
      <c r="C2621" t="s">
        <v>157</v>
      </c>
    </row>
    <row r="2622" spans="1:7" x14ac:dyDescent="0.35">
      <c r="A2622" t="s">
        <v>34</v>
      </c>
    </row>
    <row r="2623" spans="1:7" x14ac:dyDescent="0.35">
      <c r="A2623" t="s">
        <v>2</v>
      </c>
    </row>
    <row r="2624" spans="1:7" x14ac:dyDescent="0.35">
      <c r="A2624" t="s">
        <v>50</v>
      </c>
      <c r="B2624" t="s">
        <v>51</v>
      </c>
      <c r="C2624" t="s">
        <v>52</v>
      </c>
      <c r="D2624" t="s">
        <v>53</v>
      </c>
      <c r="E2624" t="s">
        <v>54</v>
      </c>
    </row>
    <row r="2625" spans="1:5" x14ac:dyDescent="0.35">
      <c r="A2625" t="s">
        <v>12</v>
      </c>
    </row>
    <row r="2626" spans="1:5" x14ac:dyDescent="0.35">
      <c r="A2626" t="s">
        <v>10</v>
      </c>
    </row>
    <row r="2627" spans="1:5" x14ac:dyDescent="0.35">
      <c r="A2627" t="s">
        <v>50</v>
      </c>
      <c r="B2627" t="s">
        <v>51</v>
      </c>
      <c r="C2627" t="s">
        <v>52</v>
      </c>
      <c r="D2627" t="s">
        <v>63</v>
      </c>
    </row>
    <row r="2628" spans="1:5" x14ac:dyDescent="0.35">
      <c r="A2628" t="s">
        <v>100</v>
      </c>
      <c r="B2628" t="s">
        <v>101</v>
      </c>
      <c r="C2628" t="s">
        <v>102</v>
      </c>
    </row>
    <row r="2629" spans="1:5" x14ac:dyDescent="0.35">
      <c r="A2629" t="s">
        <v>3</v>
      </c>
    </row>
    <row r="2630" spans="1:5" x14ac:dyDescent="0.35">
      <c r="A2630" t="s">
        <v>3</v>
      </c>
    </row>
    <row r="2631" spans="1:5" x14ac:dyDescent="0.35">
      <c r="A2631" t="s">
        <v>56</v>
      </c>
      <c r="B2631" t="s">
        <v>57</v>
      </c>
    </row>
    <row r="2632" spans="1:5" x14ac:dyDescent="0.35">
      <c r="A2632" t="s">
        <v>8</v>
      </c>
    </row>
    <row r="2633" spans="1:5" x14ac:dyDescent="0.35">
      <c r="A2633" t="s">
        <v>1</v>
      </c>
    </row>
    <row r="2634" spans="1:5" x14ac:dyDescent="0.35">
      <c r="A2634" t="s">
        <v>56</v>
      </c>
      <c r="B2634" t="s">
        <v>57</v>
      </c>
      <c r="C2634" t="s">
        <v>171</v>
      </c>
      <c r="D2634" t="s">
        <v>172</v>
      </c>
      <c r="E2634" t="s">
        <v>173</v>
      </c>
    </row>
    <row r="2635" spans="1:5" x14ac:dyDescent="0.35">
      <c r="A2635" t="s">
        <v>1</v>
      </c>
    </row>
    <row r="2636" spans="1:5" x14ac:dyDescent="0.35">
      <c r="A2636" t="s">
        <v>4</v>
      </c>
    </row>
    <row r="2637" spans="1:5" x14ac:dyDescent="0.35">
      <c r="A2637" t="s">
        <v>50</v>
      </c>
      <c r="B2637" t="s">
        <v>51</v>
      </c>
      <c r="C2637" t="s">
        <v>52</v>
      </c>
    </row>
    <row r="2638" spans="1:5" x14ac:dyDescent="0.35">
      <c r="A2638" t="s">
        <v>1</v>
      </c>
    </row>
    <row r="2639" spans="1:5" x14ac:dyDescent="0.35">
      <c r="A2639" t="s">
        <v>7</v>
      </c>
    </row>
    <row r="2640" spans="1:5" x14ac:dyDescent="0.35">
      <c r="A2640" t="s">
        <v>10</v>
      </c>
    </row>
    <row r="2641" spans="1:7" x14ac:dyDescent="0.35">
      <c r="A2641" t="s">
        <v>18</v>
      </c>
    </row>
    <row r="2642" spans="1:7" x14ac:dyDescent="0.35">
      <c r="A2642" t="s">
        <v>100</v>
      </c>
      <c r="B2642" t="s">
        <v>101</v>
      </c>
      <c r="C2642" t="s">
        <v>102</v>
      </c>
    </row>
    <row r="2643" spans="1:7" x14ac:dyDescent="0.35">
      <c r="A2643" t="s">
        <v>96</v>
      </c>
      <c r="B2643" t="s">
        <v>18</v>
      </c>
    </row>
    <row r="2644" spans="1:7" x14ac:dyDescent="0.35">
      <c r="A2644" t="s">
        <v>12</v>
      </c>
    </row>
    <row r="2645" spans="1:7" x14ac:dyDescent="0.35">
      <c r="A2645" t="s">
        <v>3</v>
      </c>
    </row>
    <row r="2646" spans="1:7" x14ac:dyDescent="0.35">
      <c r="A2646" t="s">
        <v>34</v>
      </c>
    </row>
    <row r="2647" spans="1:7" x14ac:dyDescent="0.35">
      <c r="A2647" t="s">
        <v>20</v>
      </c>
    </row>
    <row r="2648" spans="1:7" x14ac:dyDescent="0.35">
      <c r="A2648" t="s">
        <v>50</v>
      </c>
      <c r="B2648" t="s">
        <v>51</v>
      </c>
      <c r="C2648" t="s">
        <v>52</v>
      </c>
    </row>
    <row r="2649" spans="1:7" x14ac:dyDescent="0.35">
      <c r="A2649" t="s">
        <v>12</v>
      </c>
    </row>
    <row r="2650" spans="1:7" x14ac:dyDescent="0.35">
      <c r="A2650" t="s">
        <v>56</v>
      </c>
      <c r="B2650" t="s">
        <v>57</v>
      </c>
      <c r="C2650" t="s">
        <v>104</v>
      </c>
    </row>
    <row r="2651" spans="1:7" x14ac:dyDescent="0.35">
      <c r="A2651" t="s">
        <v>10</v>
      </c>
    </row>
    <row r="2652" spans="1:7" x14ac:dyDescent="0.35">
      <c r="A2652" t="s">
        <v>1</v>
      </c>
    </row>
    <row r="2653" spans="1:7" x14ac:dyDescent="0.35">
      <c r="A2653" t="s">
        <v>138</v>
      </c>
      <c r="B2653" t="s">
        <v>191</v>
      </c>
      <c r="C2653" t="s">
        <v>139</v>
      </c>
      <c r="D2653" t="s">
        <v>140</v>
      </c>
      <c r="E2653" t="s">
        <v>141</v>
      </c>
      <c r="F2653" t="s">
        <v>142</v>
      </c>
      <c r="G2653" t="s">
        <v>124</v>
      </c>
    </row>
    <row r="2654" spans="1:7" x14ac:dyDescent="0.35">
      <c r="A2654" t="s">
        <v>1</v>
      </c>
    </row>
    <row r="2655" spans="1:7" x14ac:dyDescent="0.35">
      <c r="A2655" t="s">
        <v>96</v>
      </c>
      <c r="B2655" t="s">
        <v>18</v>
      </c>
    </row>
    <row r="2656" spans="1:7" x14ac:dyDescent="0.35">
      <c r="A2656" t="s">
        <v>15</v>
      </c>
    </row>
    <row r="2657" spans="1:9" x14ac:dyDescent="0.35">
      <c r="A2657" t="s">
        <v>18</v>
      </c>
      <c r="B2657" t="s">
        <v>160</v>
      </c>
    </row>
    <row r="2658" spans="1:9" x14ac:dyDescent="0.35">
      <c r="A2658" t="s">
        <v>28</v>
      </c>
    </row>
    <row r="2659" spans="1:9" x14ac:dyDescent="0.35">
      <c r="A2659" t="s">
        <v>31</v>
      </c>
    </row>
    <row r="2660" spans="1:9" x14ac:dyDescent="0.35">
      <c r="A2660" t="s">
        <v>138</v>
      </c>
      <c r="B2660" t="s">
        <v>139</v>
      </c>
      <c r="C2660" t="s">
        <v>140</v>
      </c>
      <c r="D2660" t="s">
        <v>141</v>
      </c>
      <c r="E2660" t="s">
        <v>142</v>
      </c>
      <c r="F2660" t="s">
        <v>124</v>
      </c>
      <c r="G2660" t="s">
        <v>143</v>
      </c>
      <c r="H2660" t="s">
        <v>199</v>
      </c>
      <c r="I2660" t="s">
        <v>145</v>
      </c>
    </row>
    <row r="2661" spans="1:9" x14ac:dyDescent="0.35">
      <c r="A2661" t="s">
        <v>15</v>
      </c>
    </row>
    <row r="2662" spans="1:9" x14ac:dyDescent="0.35">
      <c r="A2662" t="s">
        <v>155</v>
      </c>
      <c r="B2662" t="s">
        <v>156</v>
      </c>
      <c r="C2662" t="s">
        <v>157</v>
      </c>
    </row>
    <row r="2663" spans="1:9" x14ac:dyDescent="0.35">
      <c r="A2663" t="s">
        <v>100</v>
      </c>
      <c r="B2663" t="s">
        <v>101</v>
      </c>
      <c r="C2663" t="s">
        <v>102</v>
      </c>
    </row>
    <row r="2664" spans="1:9" x14ac:dyDescent="0.35">
      <c r="A2664" t="s">
        <v>126</v>
      </c>
      <c r="B2664" t="s">
        <v>127</v>
      </c>
    </row>
    <row r="2665" spans="1:9" x14ac:dyDescent="0.35">
      <c r="A2665" t="s">
        <v>30</v>
      </c>
    </row>
    <row r="2666" spans="1:9" x14ac:dyDescent="0.35">
      <c r="A2666" t="s">
        <v>11</v>
      </c>
    </row>
    <row r="2667" spans="1:9" x14ac:dyDescent="0.35">
      <c r="A2667" t="s">
        <v>29</v>
      </c>
      <c r="B2667" t="s">
        <v>219</v>
      </c>
      <c r="C2667" t="s">
        <v>207</v>
      </c>
      <c r="D2667" t="s">
        <v>167</v>
      </c>
      <c r="E2667" t="s">
        <v>208</v>
      </c>
      <c r="F2667" t="s">
        <v>168</v>
      </c>
    </row>
    <row r="2668" spans="1:9" x14ac:dyDescent="0.35">
      <c r="A2668" t="s">
        <v>7</v>
      </c>
    </row>
    <row r="2669" spans="1:9" x14ac:dyDescent="0.35">
      <c r="A2669" t="s">
        <v>50</v>
      </c>
      <c r="B2669" t="s">
        <v>51</v>
      </c>
      <c r="C2669" t="s">
        <v>52</v>
      </c>
    </row>
    <row r="2670" spans="1:9" x14ac:dyDescent="0.35">
      <c r="A2670" t="s">
        <v>96</v>
      </c>
      <c r="B2670" t="s">
        <v>18</v>
      </c>
    </row>
    <row r="2671" spans="1:9" x14ac:dyDescent="0.35">
      <c r="A2671" t="s">
        <v>11</v>
      </c>
    </row>
    <row r="2672" spans="1:9" x14ac:dyDescent="0.35">
      <c r="A2672" t="s">
        <v>12</v>
      </c>
    </row>
    <row r="2673" spans="1:6" x14ac:dyDescent="0.35">
      <c r="A2673" t="s">
        <v>50</v>
      </c>
      <c r="B2673" t="s">
        <v>51</v>
      </c>
      <c r="C2673" t="s">
        <v>52</v>
      </c>
      <c r="D2673" t="s">
        <v>63</v>
      </c>
    </row>
    <row r="2674" spans="1:6" x14ac:dyDescent="0.35">
      <c r="A2674" t="s">
        <v>123</v>
      </c>
      <c r="B2674" t="s">
        <v>124</v>
      </c>
      <c r="C2674" t="s">
        <v>125</v>
      </c>
    </row>
    <row r="2675" spans="1:6" x14ac:dyDescent="0.35">
      <c r="A2675" t="s">
        <v>50</v>
      </c>
      <c r="B2675" t="s">
        <v>51</v>
      </c>
      <c r="C2675" t="s">
        <v>52</v>
      </c>
    </row>
    <row r="2676" spans="1:6" x14ac:dyDescent="0.35">
      <c r="A2676" t="s">
        <v>39</v>
      </c>
    </row>
    <row r="2677" spans="1:6" x14ac:dyDescent="0.35">
      <c r="A2677" t="s">
        <v>50</v>
      </c>
      <c r="B2677" t="s">
        <v>51</v>
      </c>
      <c r="C2677" t="s">
        <v>52</v>
      </c>
    </row>
    <row r="2678" spans="1:6" x14ac:dyDescent="0.35">
      <c r="A2678" t="s">
        <v>3</v>
      </c>
      <c r="B2678" t="s">
        <v>117</v>
      </c>
    </row>
    <row r="2679" spans="1:6" x14ac:dyDescent="0.35">
      <c r="A2679" t="s">
        <v>8</v>
      </c>
    </row>
    <row r="2680" spans="1:6" x14ac:dyDescent="0.35">
      <c r="A2680" t="s">
        <v>6</v>
      </c>
    </row>
    <row r="2681" spans="1:6" x14ac:dyDescent="0.35">
      <c r="A2681" t="s">
        <v>105</v>
      </c>
      <c r="B2681" t="s">
        <v>14</v>
      </c>
    </row>
    <row r="2682" spans="1:6" x14ac:dyDescent="0.35">
      <c r="A2682" t="s">
        <v>3</v>
      </c>
    </row>
    <row r="2683" spans="1:6" x14ac:dyDescent="0.35">
      <c r="A2683" t="s">
        <v>50</v>
      </c>
      <c r="B2683" t="s">
        <v>51</v>
      </c>
      <c r="C2683" t="s">
        <v>52</v>
      </c>
      <c r="D2683" t="s">
        <v>63</v>
      </c>
    </row>
    <row r="2684" spans="1:6" x14ac:dyDescent="0.35">
      <c r="A2684" t="s">
        <v>20</v>
      </c>
    </row>
    <row r="2685" spans="1:6" x14ac:dyDescent="0.35">
      <c r="A2685" t="s">
        <v>126</v>
      </c>
      <c r="B2685" t="s">
        <v>127</v>
      </c>
    </row>
    <row r="2686" spans="1:6" x14ac:dyDescent="0.35">
      <c r="A2686" t="s">
        <v>8</v>
      </c>
    </row>
    <row r="2687" spans="1:6" x14ac:dyDescent="0.35">
      <c r="A2687" t="s">
        <v>3</v>
      </c>
    </row>
    <row r="2688" spans="1:6" x14ac:dyDescent="0.35">
      <c r="A2688" t="s">
        <v>64</v>
      </c>
      <c r="B2688" t="s">
        <v>65</v>
      </c>
      <c r="C2688" t="s">
        <v>66</v>
      </c>
      <c r="D2688" t="s">
        <v>18</v>
      </c>
      <c r="E2688" t="s">
        <v>67</v>
      </c>
      <c r="F2688" t="s">
        <v>68</v>
      </c>
    </row>
    <row r="2689" spans="1:7" x14ac:dyDescent="0.35">
      <c r="A2689" t="s">
        <v>96</v>
      </c>
      <c r="B2689" t="s">
        <v>176</v>
      </c>
      <c r="C2689" t="s">
        <v>66</v>
      </c>
      <c r="D2689" t="s">
        <v>18</v>
      </c>
      <c r="E2689" t="s">
        <v>67</v>
      </c>
      <c r="F2689" t="s">
        <v>68</v>
      </c>
    </row>
    <row r="2690" spans="1:7" x14ac:dyDescent="0.35">
      <c r="A2690" t="s">
        <v>166</v>
      </c>
      <c r="B2690" t="s">
        <v>167</v>
      </c>
      <c r="C2690" t="s">
        <v>168</v>
      </c>
      <c r="D2690" t="s">
        <v>169</v>
      </c>
    </row>
    <row r="2691" spans="1:7" x14ac:dyDescent="0.35">
      <c r="A2691" t="s">
        <v>96</v>
      </c>
      <c r="B2691" t="s">
        <v>18</v>
      </c>
    </row>
    <row r="2692" spans="1:7" x14ac:dyDescent="0.35">
      <c r="A2692" t="s">
        <v>81</v>
      </c>
      <c r="B2692" t="s">
        <v>11</v>
      </c>
    </row>
    <row r="2693" spans="1:7" x14ac:dyDescent="0.35">
      <c r="A2693" t="s">
        <v>56</v>
      </c>
      <c r="B2693" t="s">
        <v>57</v>
      </c>
    </row>
    <row r="2694" spans="1:7" x14ac:dyDescent="0.35">
      <c r="A2694" t="s">
        <v>18</v>
      </c>
      <c r="B2694" t="s">
        <v>234</v>
      </c>
    </row>
    <row r="2695" spans="1:7" x14ac:dyDescent="0.35">
      <c r="A2695" t="s">
        <v>81</v>
      </c>
      <c r="B2695" t="s">
        <v>11</v>
      </c>
    </row>
    <row r="2696" spans="1:7" x14ac:dyDescent="0.35">
      <c r="A2696" t="s">
        <v>3</v>
      </c>
      <c r="B2696" t="s">
        <v>117</v>
      </c>
    </row>
    <row r="2697" spans="1:7" x14ac:dyDescent="0.35">
      <c r="A2697" t="s">
        <v>7</v>
      </c>
    </row>
    <row r="2698" spans="1:7" x14ac:dyDescent="0.35">
      <c r="A2698" t="s">
        <v>27</v>
      </c>
    </row>
    <row r="2699" spans="1:7" x14ac:dyDescent="0.35">
      <c r="A2699" t="s">
        <v>93</v>
      </c>
      <c r="B2699" t="s">
        <v>50</v>
      </c>
      <c r="C2699" t="s">
        <v>51</v>
      </c>
      <c r="D2699" t="s">
        <v>52</v>
      </c>
      <c r="E2699" t="s">
        <v>94</v>
      </c>
      <c r="F2699" t="s">
        <v>77</v>
      </c>
      <c r="G2699" t="s">
        <v>95</v>
      </c>
    </row>
    <row r="2700" spans="1:7" x14ac:dyDescent="0.35">
      <c r="A2700" t="s">
        <v>17</v>
      </c>
    </row>
    <row r="2701" spans="1:7" x14ac:dyDescent="0.35">
      <c r="A2701" t="s">
        <v>12</v>
      </c>
    </row>
    <row r="2702" spans="1:7" x14ac:dyDescent="0.35">
      <c r="A2702" t="s">
        <v>3</v>
      </c>
    </row>
    <row r="2703" spans="1:7" x14ac:dyDescent="0.35">
      <c r="A2703" t="s">
        <v>16</v>
      </c>
      <c r="B2703" t="s">
        <v>8</v>
      </c>
    </row>
    <row r="2704" spans="1:7" x14ac:dyDescent="0.35">
      <c r="A2704" t="s">
        <v>8</v>
      </c>
    </row>
    <row r="2705" spans="1:6" x14ac:dyDescent="0.35">
      <c r="A2705" t="s">
        <v>96</v>
      </c>
      <c r="B2705" t="s">
        <v>176</v>
      </c>
      <c r="C2705" t="s">
        <v>18</v>
      </c>
    </row>
    <row r="2706" spans="1:6" x14ac:dyDescent="0.35">
      <c r="A2706" t="s">
        <v>1</v>
      </c>
      <c r="B2706" t="s">
        <v>87</v>
      </c>
      <c r="C2706" t="s">
        <v>217</v>
      </c>
      <c r="D2706" t="s">
        <v>181</v>
      </c>
    </row>
    <row r="2707" spans="1:6" x14ac:dyDescent="0.35">
      <c r="A2707" t="s">
        <v>8</v>
      </c>
    </row>
    <row r="2708" spans="1:6" x14ac:dyDescent="0.35">
      <c r="A2708" t="s">
        <v>148</v>
      </c>
      <c r="B2708" t="s">
        <v>18</v>
      </c>
    </row>
    <row r="2709" spans="1:6" x14ac:dyDescent="0.35">
      <c r="A2709" t="s">
        <v>35</v>
      </c>
    </row>
    <row r="2710" spans="1:6" x14ac:dyDescent="0.35">
      <c r="A2710" t="s">
        <v>11</v>
      </c>
      <c r="B2710" t="s">
        <v>107</v>
      </c>
    </row>
    <row r="2711" spans="1:6" x14ac:dyDescent="0.35">
      <c r="A2711" t="s">
        <v>96</v>
      </c>
      <c r="B2711" t="s">
        <v>18</v>
      </c>
    </row>
    <row r="2712" spans="1:6" x14ac:dyDescent="0.35">
      <c r="A2712" t="s">
        <v>64</v>
      </c>
      <c r="B2712" t="s">
        <v>65</v>
      </c>
      <c r="C2712" t="s">
        <v>66</v>
      </c>
      <c r="D2712" t="s">
        <v>18</v>
      </c>
      <c r="E2712" t="s">
        <v>67</v>
      </c>
      <c r="F2712" t="s">
        <v>68</v>
      </c>
    </row>
    <row r="2713" spans="1:6" x14ac:dyDescent="0.35">
      <c r="A2713" t="s">
        <v>4</v>
      </c>
    </row>
    <row r="2714" spans="1:6" x14ac:dyDescent="0.35">
      <c r="A2714" t="s">
        <v>12</v>
      </c>
    </row>
    <row r="2715" spans="1:6" x14ac:dyDescent="0.35">
      <c r="A2715" t="s">
        <v>23</v>
      </c>
    </row>
    <row r="2716" spans="1:6" x14ac:dyDescent="0.35">
      <c r="A2716" t="s">
        <v>3</v>
      </c>
    </row>
    <row r="2717" spans="1:6" x14ac:dyDescent="0.35">
      <c r="A2717" t="s">
        <v>108</v>
      </c>
      <c r="B2717" t="s">
        <v>11</v>
      </c>
    </row>
    <row r="2718" spans="1:6" x14ac:dyDescent="0.35">
      <c r="A2718" t="s">
        <v>50</v>
      </c>
      <c r="B2718" t="s">
        <v>51</v>
      </c>
      <c r="C2718" t="s">
        <v>52</v>
      </c>
      <c r="D2718" t="s">
        <v>63</v>
      </c>
    </row>
    <row r="2719" spans="1:6" x14ac:dyDescent="0.35">
      <c r="A2719" t="s">
        <v>3</v>
      </c>
      <c r="B2719" t="s">
        <v>117</v>
      </c>
    </row>
    <row r="2720" spans="1:6" x14ac:dyDescent="0.35">
      <c r="A2720" t="s">
        <v>7</v>
      </c>
    </row>
    <row r="2721" spans="1:9" x14ac:dyDescent="0.35">
      <c r="A2721" t="s">
        <v>1</v>
      </c>
    </row>
    <row r="2722" spans="1:9" x14ac:dyDescent="0.35">
      <c r="A2722" t="s">
        <v>3</v>
      </c>
    </row>
    <row r="2723" spans="1:9" x14ac:dyDescent="0.35">
      <c r="A2723" t="s">
        <v>1</v>
      </c>
      <c r="B2723" t="s">
        <v>87</v>
      </c>
      <c r="C2723" t="s">
        <v>170</v>
      </c>
    </row>
    <row r="2724" spans="1:9" x14ac:dyDescent="0.35">
      <c r="A2724" t="s">
        <v>183</v>
      </c>
      <c r="B2724" t="s">
        <v>184</v>
      </c>
      <c r="C2724" t="s">
        <v>185</v>
      </c>
      <c r="D2724" t="s">
        <v>66</v>
      </c>
      <c r="E2724" t="s">
        <v>18</v>
      </c>
      <c r="F2724" t="s">
        <v>67</v>
      </c>
    </row>
    <row r="2725" spans="1:9" x14ac:dyDescent="0.35">
      <c r="A2725" t="s">
        <v>5</v>
      </c>
    </row>
    <row r="2726" spans="1:9" x14ac:dyDescent="0.35">
      <c r="A2726" t="s">
        <v>115</v>
      </c>
      <c r="B2726" t="s">
        <v>11</v>
      </c>
    </row>
    <row r="2727" spans="1:9" x14ac:dyDescent="0.35">
      <c r="A2727" t="s">
        <v>138</v>
      </c>
      <c r="B2727" t="s">
        <v>139</v>
      </c>
      <c r="C2727" t="s">
        <v>140</v>
      </c>
      <c r="D2727" t="s">
        <v>141</v>
      </c>
      <c r="E2727" t="s">
        <v>142</v>
      </c>
      <c r="F2727" t="s">
        <v>124</v>
      </c>
      <c r="G2727" t="s">
        <v>143</v>
      </c>
      <c r="H2727" t="s">
        <v>224</v>
      </c>
      <c r="I2727" t="s">
        <v>145</v>
      </c>
    </row>
    <row r="2728" spans="1:9" x14ac:dyDescent="0.35">
      <c r="A2728" t="s">
        <v>19</v>
      </c>
    </row>
    <row r="2729" spans="1:9" x14ac:dyDescent="0.35">
      <c r="A2729" t="s">
        <v>108</v>
      </c>
      <c r="B2729" t="s">
        <v>11</v>
      </c>
    </row>
    <row r="2730" spans="1:9" x14ac:dyDescent="0.35">
      <c r="A2730" t="s">
        <v>50</v>
      </c>
      <c r="B2730" t="s">
        <v>51</v>
      </c>
      <c r="C2730" t="s">
        <v>52</v>
      </c>
      <c r="D2730" t="s">
        <v>72</v>
      </c>
      <c r="E2730" t="s">
        <v>73</v>
      </c>
    </row>
    <row r="2731" spans="1:9" x14ac:dyDescent="0.35">
      <c r="A2731" t="s">
        <v>18</v>
      </c>
      <c r="B2731" t="s">
        <v>160</v>
      </c>
    </row>
    <row r="2732" spans="1:9" x14ac:dyDescent="0.35">
      <c r="A2732" t="s">
        <v>18</v>
      </c>
      <c r="B2732" t="s">
        <v>160</v>
      </c>
    </row>
    <row r="2733" spans="1:9" x14ac:dyDescent="0.35">
      <c r="A2733" t="s">
        <v>18</v>
      </c>
    </row>
    <row r="2734" spans="1:9" x14ac:dyDescent="0.35">
      <c r="A2734" t="s">
        <v>1</v>
      </c>
      <c r="B2734" t="s">
        <v>87</v>
      </c>
      <c r="C2734" t="s">
        <v>235</v>
      </c>
    </row>
    <row r="2735" spans="1:9" x14ac:dyDescent="0.35">
      <c r="A2735" t="s">
        <v>10</v>
      </c>
    </row>
    <row r="2736" spans="1:9" x14ac:dyDescent="0.35">
      <c r="A2736" t="s">
        <v>11</v>
      </c>
      <c r="B2736" t="s">
        <v>107</v>
      </c>
    </row>
    <row r="2737" spans="1:7" x14ac:dyDescent="0.35">
      <c r="A2737" t="s">
        <v>64</v>
      </c>
      <c r="B2737" t="s">
        <v>65</v>
      </c>
      <c r="C2737" t="s">
        <v>66</v>
      </c>
      <c r="D2737" t="s">
        <v>18</v>
      </c>
      <c r="E2737" t="s">
        <v>67</v>
      </c>
      <c r="F2737" t="s">
        <v>68</v>
      </c>
    </row>
    <row r="2738" spans="1:7" x14ac:dyDescent="0.35">
      <c r="A2738" t="s">
        <v>56</v>
      </c>
      <c r="B2738" t="s">
        <v>57</v>
      </c>
    </row>
    <row r="2739" spans="1:7" x14ac:dyDescent="0.35">
      <c r="A2739" t="s">
        <v>8</v>
      </c>
    </row>
    <row r="2740" spans="1:7" x14ac:dyDescent="0.35">
      <c r="A2740" t="s">
        <v>214</v>
      </c>
      <c r="B2740" t="s">
        <v>215</v>
      </c>
    </row>
    <row r="2741" spans="1:7" x14ac:dyDescent="0.35">
      <c r="A2741" t="s">
        <v>18</v>
      </c>
      <c r="B2741" t="s">
        <v>178</v>
      </c>
    </row>
    <row r="2742" spans="1:7" x14ac:dyDescent="0.35">
      <c r="A2742" t="s">
        <v>159</v>
      </c>
      <c r="B2742" t="s">
        <v>11</v>
      </c>
    </row>
    <row r="2743" spans="1:7" x14ac:dyDescent="0.35">
      <c r="A2743" t="s">
        <v>105</v>
      </c>
      <c r="B2743" t="s">
        <v>137</v>
      </c>
      <c r="C2743" t="s">
        <v>11</v>
      </c>
    </row>
    <row r="2744" spans="1:7" x14ac:dyDescent="0.35">
      <c r="A2744" t="s">
        <v>96</v>
      </c>
      <c r="B2744" t="s">
        <v>176</v>
      </c>
      <c r="C2744" t="s">
        <v>66</v>
      </c>
      <c r="D2744" t="s">
        <v>18</v>
      </c>
      <c r="E2744" t="s">
        <v>67</v>
      </c>
      <c r="F2744" t="s">
        <v>68</v>
      </c>
    </row>
    <row r="2745" spans="1:7" x14ac:dyDescent="0.35">
      <c r="A2745" t="s">
        <v>50</v>
      </c>
      <c r="B2745" t="s">
        <v>51</v>
      </c>
      <c r="C2745" t="s">
        <v>52</v>
      </c>
      <c r="D2745" t="s">
        <v>60</v>
      </c>
      <c r="E2745" t="s">
        <v>61</v>
      </c>
    </row>
    <row r="2746" spans="1:7" x14ac:dyDescent="0.35">
      <c r="A2746" t="s">
        <v>56</v>
      </c>
      <c r="B2746" t="s">
        <v>57</v>
      </c>
    </row>
    <row r="2747" spans="1:7" x14ac:dyDescent="0.35">
      <c r="A2747" t="s">
        <v>1</v>
      </c>
      <c r="B2747" t="s">
        <v>87</v>
      </c>
      <c r="C2747" t="s">
        <v>131</v>
      </c>
    </row>
    <row r="2748" spans="1:7" x14ac:dyDescent="0.35">
      <c r="A2748" t="s">
        <v>93</v>
      </c>
      <c r="B2748" t="s">
        <v>50</v>
      </c>
      <c r="C2748" t="s">
        <v>51</v>
      </c>
      <c r="D2748" t="s">
        <v>52</v>
      </c>
      <c r="E2748" t="s">
        <v>94</v>
      </c>
      <c r="F2748" t="s">
        <v>77</v>
      </c>
      <c r="G2748" t="s">
        <v>95</v>
      </c>
    </row>
    <row r="2749" spans="1:7" x14ac:dyDescent="0.35">
      <c r="A2749" t="s">
        <v>7</v>
      </c>
    </row>
    <row r="2750" spans="1:7" x14ac:dyDescent="0.35">
      <c r="A2750" t="s">
        <v>18</v>
      </c>
    </row>
    <row r="2751" spans="1:7" x14ac:dyDescent="0.35">
      <c r="A2751" t="s">
        <v>1</v>
      </c>
    </row>
    <row r="2752" spans="1:7" x14ac:dyDescent="0.35">
      <c r="A2752" t="s">
        <v>12</v>
      </c>
    </row>
    <row r="2753" spans="1:6" x14ac:dyDescent="0.35">
      <c r="A2753" t="s">
        <v>17</v>
      </c>
    </row>
    <row r="2754" spans="1:6" x14ac:dyDescent="0.35">
      <c r="A2754" t="s">
        <v>56</v>
      </c>
      <c r="B2754" t="s">
        <v>57</v>
      </c>
      <c r="C2754" t="s">
        <v>99</v>
      </c>
    </row>
    <row r="2755" spans="1:6" x14ac:dyDescent="0.35">
      <c r="A2755" t="s">
        <v>96</v>
      </c>
      <c r="B2755" t="s">
        <v>18</v>
      </c>
    </row>
    <row r="2756" spans="1:6" x14ac:dyDescent="0.35">
      <c r="A2756" t="s">
        <v>183</v>
      </c>
      <c r="B2756" t="s">
        <v>184</v>
      </c>
      <c r="C2756" t="s">
        <v>185</v>
      </c>
      <c r="D2756" t="s">
        <v>66</v>
      </c>
      <c r="E2756" t="s">
        <v>18</v>
      </c>
      <c r="F2756" t="s">
        <v>67</v>
      </c>
    </row>
    <row r="2757" spans="1:6" x14ac:dyDescent="0.35">
      <c r="A2757" t="s">
        <v>18</v>
      </c>
    </row>
    <row r="2758" spans="1:6" x14ac:dyDescent="0.35">
      <c r="A2758" t="s">
        <v>12</v>
      </c>
    </row>
    <row r="2759" spans="1:6" x14ac:dyDescent="0.35">
      <c r="A2759" t="s">
        <v>12</v>
      </c>
    </row>
    <row r="2760" spans="1:6" x14ac:dyDescent="0.35">
      <c r="A2760" t="s">
        <v>8</v>
      </c>
    </row>
    <row r="2761" spans="1:6" x14ac:dyDescent="0.35">
      <c r="A2761" t="s">
        <v>115</v>
      </c>
      <c r="B2761" t="s">
        <v>11</v>
      </c>
    </row>
    <row r="2762" spans="1:6" x14ac:dyDescent="0.35">
      <c r="A2762" t="s">
        <v>50</v>
      </c>
      <c r="B2762" t="s">
        <v>51</v>
      </c>
      <c r="C2762" t="s">
        <v>52</v>
      </c>
      <c r="D2762" t="s">
        <v>61</v>
      </c>
    </row>
    <row r="2763" spans="1:6" x14ac:dyDescent="0.35">
      <c r="A2763" t="s">
        <v>93</v>
      </c>
      <c r="B2763" t="s">
        <v>50</v>
      </c>
      <c r="C2763" t="s">
        <v>51</v>
      </c>
      <c r="D2763" t="s">
        <v>52</v>
      </c>
      <c r="E2763" t="s">
        <v>94</v>
      </c>
      <c r="F2763" t="s">
        <v>77</v>
      </c>
    </row>
    <row r="2764" spans="1:6" x14ac:dyDescent="0.35">
      <c r="A2764" t="s">
        <v>24</v>
      </c>
    </row>
    <row r="2765" spans="1:6" x14ac:dyDescent="0.35">
      <c r="A2765" t="s">
        <v>50</v>
      </c>
      <c r="B2765" t="s">
        <v>51</v>
      </c>
      <c r="C2765" t="s">
        <v>52</v>
      </c>
      <c r="D2765" t="s">
        <v>72</v>
      </c>
      <c r="E2765" t="s">
        <v>73</v>
      </c>
    </row>
    <row r="2766" spans="1:6" x14ac:dyDescent="0.35">
      <c r="A2766" t="s">
        <v>12</v>
      </c>
    </row>
    <row r="2767" spans="1:6" x14ac:dyDescent="0.35">
      <c r="A2767" t="s">
        <v>64</v>
      </c>
      <c r="B2767" t="s">
        <v>66</v>
      </c>
      <c r="C2767" t="s">
        <v>18</v>
      </c>
      <c r="D2767" t="s">
        <v>67</v>
      </c>
      <c r="E2767" t="s">
        <v>68</v>
      </c>
    </row>
    <row r="2768" spans="1:6" x14ac:dyDescent="0.35">
      <c r="A2768" t="s">
        <v>12</v>
      </c>
    </row>
    <row r="2769" spans="1:7" x14ac:dyDescent="0.35">
      <c r="A2769" t="s">
        <v>64</v>
      </c>
      <c r="B2769" t="s">
        <v>65</v>
      </c>
      <c r="C2769" t="s">
        <v>66</v>
      </c>
      <c r="D2769" t="s">
        <v>18</v>
      </c>
      <c r="E2769" t="s">
        <v>67</v>
      </c>
      <c r="F2769" t="s">
        <v>68</v>
      </c>
    </row>
    <row r="2770" spans="1:7" x14ac:dyDescent="0.35">
      <c r="A2770" t="s">
        <v>10</v>
      </c>
    </row>
    <row r="2771" spans="1:7" x14ac:dyDescent="0.35">
      <c r="A2771" t="s">
        <v>50</v>
      </c>
      <c r="B2771" t="s">
        <v>51</v>
      </c>
      <c r="C2771" t="s">
        <v>82</v>
      </c>
      <c r="D2771" t="s">
        <v>52</v>
      </c>
      <c r="E2771" t="s">
        <v>77</v>
      </c>
      <c r="F2771" t="s">
        <v>83</v>
      </c>
      <c r="G2771" t="s">
        <v>84</v>
      </c>
    </row>
    <row r="2772" spans="1:7" x14ac:dyDescent="0.35">
      <c r="A2772" t="s">
        <v>50</v>
      </c>
      <c r="B2772" t="s">
        <v>51</v>
      </c>
      <c r="C2772" t="s">
        <v>52</v>
      </c>
      <c r="D2772" t="s">
        <v>63</v>
      </c>
    </row>
    <row r="2773" spans="1:7" x14ac:dyDescent="0.35">
      <c r="A2773" t="s">
        <v>56</v>
      </c>
      <c r="B2773" t="s">
        <v>57</v>
      </c>
      <c r="C2773" t="s">
        <v>171</v>
      </c>
      <c r="D2773" t="s">
        <v>172</v>
      </c>
      <c r="E2773" t="s">
        <v>173</v>
      </c>
    </row>
    <row r="2774" spans="1:7" x14ac:dyDescent="0.35">
      <c r="A2774" t="s">
        <v>93</v>
      </c>
      <c r="B2774" t="s">
        <v>50</v>
      </c>
      <c r="C2774" t="s">
        <v>51</v>
      </c>
      <c r="D2774" t="s">
        <v>52</v>
      </c>
      <c r="E2774" t="s">
        <v>94</v>
      </c>
      <c r="F2774" t="s">
        <v>77</v>
      </c>
      <c r="G2774" t="s">
        <v>95</v>
      </c>
    </row>
    <row r="2775" spans="1:7" x14ac:dyDescent="0.35">
      <c r="A2775" t="s">
        <v>50</v>
      </c>
      <c r="B2775" t="s">
        <v>51</v>
      </c>
      <c r="C2775" t="s">
        <v>52</v>
      </c>
    </row>
    <row r="2776" spans="1:7" x14ac:dyDescent="0.35">
      <c r="A2776" t="s">
        <v>17</v>
      </c>
    </row>
    <row r="2777" spans="1:7" x14ac:dyDescent="0.35">
      <c r="A2777" t="s">
        <v>8</v>
      </c>
    </row>
    <row r="2778" spans="1:7" x14ac:dyDescent="0.35">
      <c r="A2778" t="s">
        <v>64</v>
      </c>
      <c r="B2778" t="s">
        <v>66</v>
      </c>
      <c r="C2778" t="s">
        <v>18</v>
      </c>
      <c r="D2778" t="s">
        <v>67</v>
      </c>
      <c r="E2778" t="s">
        <v>68</v>
      </c>
    </row>
    <row r="2779" spans="1:7" x14ac:dyDescent="0.35">
      <c r="A2779" t="s">
        <v>50</v>
      </c>
      <c r="B2779" t="s">
        <v>51</v>
      </c>
      <c r="C2779" t="s">
        <v>82</v>
      </c>
      <c r="D2779" t="s">
        <v>52</v>
      </c>
      <c r="E2779" t="s">
        <v>77</v>
      </c>
      <c r="F2779" t="s">
        <v>83</v>
      </c>
      <c r="G2779" t="s">
        <v>84</v>
      </c>
    </row>
    <row r="2780" spans="1:7" x14ac:dyDescent="0.35">
      <c r="A2780" t="s">
        <v>139</v>
      </c>
      <c r="B2780" t="s">
        <v>140</v>
      </c>
      <c r="C2780" t="s">
        <v>141</v>
      </c>
      <c r="D2780" t="s">
        <v>142</v>
      </c>
      <c r="E2780" t="s">
        <v>124</v>
      </c>
      <c r="F2780" t="s">
        <v>143</v>
      </c>
      <c r="G2780" t="s">
        <v>226</v>
      </c>
    </row>
    <row r="2781" spans="1:7" x14ac:dyDescent="0.35">
      <c r="A2781" t="s">
        <v>50</v>
      </c>
      <c r="B2781" t="s">
        <v>51</v>
      </c>
      <c r="C2781" t="s">
        <v>52</v>
      </c>
    </row>
    <row r="2782" spans="1:7" x14ac:dyDescent="0.35">
      <c r="A2782" t="s">
        <v>50</v>
      </c>
      <c r="B2782" t="s">
        <v>51</v>
      </c>
      <c r="C2782" t="s">
        <v>82</v>
      </c>
      <c r="D2782" t="s">
        <v>52</v>
      </c>
      <c r="E2782" t="s">
        <v>77</v>
      </c>
      <c r="F2782" t="s">
        <v>83</v>
      </c>
      <c r="G2782" t="s">
        <v>84</v>
      </c>
    </row>
    <row r="2783" spans="1:7" x14ac:dyDescent="0.35">
      <c r="A2783" t="s">
        <v>7</v>
      </c>
    </row>
    <row r="2784" spans="1:7" x14ac:dyDescent="0.35">
      <c r="A2784" t="s">
        <v>139</v>
      </c>
      <c r="B2784" t="s">
        <v>140</v>
      </c>
      <c r="C2784" t="s">
        <v>141</v>
      </c>
      <c r="D2784" t="s">
        <v>142</v>
      </c>
      <c r="E2784" t="s">
        <v>124</v>
      </c>
    </row>
    <row r="2785" spans="1:6" x14ac:dyDescent="0.35">
      <c r="A2785" t="s">
        <v>10</v>
      </c>
    </row>
    <row r="2786" spans="1:6" x14ac:dyDescent="0.35">
      <c r="A2786" t="s">
        <v>18</v>
      </c>
      <c r="B2786" t="s">
        <v>160</v>
      </c>
    </row>
    <row r="2787" spans="1:6" x14ac:dyDescent="0.35">
      <c r="A2787" t="s">
        <v>50</v>
      </c>
      <c r="B2787" t="s">
        <v>51</v>
      </c>
      <c r="C2787" t="s">
        <v>52</v>
      </c>
      <c r="D2787" t="s">
        <v>63</v>
      </c>
    </row>
    <row r="2788" spans="1:6" x14ac:dyDescent="0.35">
      <c r="A2788" t="s">
        <v>50</v>
      </c>
      <c r="B2788" t="s">
        <v>51</v>
      </c>
      <c r="C2788" t="s">
        <v>52</v>
      </c>
      <c r="D2788" t="s">
        <v>63</v>
      </c>
    </row>
    <row r="2789" spans="1:6" x14ac:dyDescent="0.35">
      <c r="A2789" t="s">
        <v>10</v>
      </c>
    </row>
    <row r="2790" spans="1:6" x14ac:dyDescent="0.35">
      <c r="A2790" t="s">
        <v>96</v>
      </c>
      <c r="B2790" t="s">
        <v>18</v>
      </c>
    </row>
    <row r="2791" spans="1:6" x14ac:dyDescent="0.35">
      <c r="A2791" t="s">
        <v>126</v>
      </c>
      <c r="B2791" t="s">
        <v>127</v>
      </c>
    </row>
    <row r="2792" spans="1:6" x14ac:dyDescent="0.35">
      <c r="A2792" t="s">
        <v>96</v>
      </c>
      <c r="B2792" t="s">
        <v>176</v>
      </c>
      <c r="C2792" t="s">
        <v>66</v>
      </c>
      <c r="D2792" t="s">
        <v>18</v>
      </c>
      <c r="E2792" t="s">
        <v>67</v>
      </c>
      <c r="F2792" t="s">
        <v>68</v>
      </c>
    </row>
    <row r="2793" spans="1:6" x14ac:dyDescent="0.35">
      <c r="A2793" t="s">
        <v>81</v>
      </c>
      <c r="B2793" t="s">
        <v>11</v>
      </c>
    </row>
    <row r="2794" spans="1:6" x14ac:dyDescent="0.35">
      <c r="A2794" t="s">
        <v>8</v>
      </c>
    </row>
    <row r="2795" spans="1:6" x14ac:dyDescent="0.35">
      <c r="A2795" t="s">
        <v>11</v>
      </c>
      <c r="B2795" t="s">
        <v>107</v>
      </c>
    </row>
    <row r="2796" spans="1:6" x14ac:dyDescent="0.35">
      <c r="A2796" t="s">
        <v>109</v>
      </c>
      <c r="B2796" t="s">
        <v>110</v>
      </c>
      <c r="C2796" t="s">
        <v>111</v>
      </c>
    </row>
    <row r="2797" spans="1:6" x14ac:dyDescent="0.35">
      <c r="A2797" t="s">
        <v>81</v>
      </c>
      <c r="B2797" t="s">
        <v>11</v>
      </c>
    </row>
    <row r="2798" spans="1:6" x14ac:dyDescent="0.35">
      <c r="A2798" t="s">
        <v>7</v>
      </c>
    </row>
    <row r="2799" spans="1:6" x14ac:dyDescent="0.35">
      <c r="A2799" t="s">
        <v>167</v>
      </c>
      <c r="B2799" t="s">
        <v>168</v>
      </c>
      <c r="C2799" t="s">
        <v>169</v>
      </c>
      <c r="D2799" t="s">
        <v>236</v>
      </c>
    </row>
    <row r="2800" spans="1:6" x14ac:dyDescent="0.35">
      <c r="A2800" t="s">
        <v>3</v>
      </c>
    </row>
    <row r="2801" spans="1:6" x14ac:dyDescent="0.35">
      <c r="A2801" t="s">
        <v>15</v>
      </c>
    </row>
    <row r="2802" spans="1:6" x14ac:dyDescent="0.35">
      <c r="A2802" t="s">
        <v>148</v>
      </c>
      <c r="B2802" t="s">
        <v>18</v>
      </c>
    </row>
    <row r="2803" spans="1:6" x14ac:dyDescent="0.35">
      <c r="A2803" t="s">
        <v>40</v>
      </c>
    </row>
    <row r="2804" spans="1:6" x14ac:dyDescent="0.35">
      <c r="A2804" t="s">
        <v>9</v>
      </c>
    </row>
    <row r="2805" spans="1:6" x14ac:dyDescent="0.35">
      <c r="A2805" t="s">
        <v>18</v>
      </c>
      <c r="B2805" t="s">
        <v>160</v>
      </c>
    </row>
    <row r="2806" spans="1:6" x14ac:dyDescent="0.35">
      <c r="A2806" t="s">
        <v>56</v>
      </c>
      <c r="B2806" t="s">
        <v>57</v>
      </c>
    </row>
    <row r="2807" spans="1:6" x14ac:dyDescent="0.35">
      <c r="A2807" t="s">
        <v>15</v>
      </c>
    </row>
    <row r="2808" spans="1:6" x14ac:dyDescent="0.35">
      <c r="A2808" t="s">
        <v>1</v>
      </c>
      <c r="B2808" t="s">
        <v>87</v>
      </c>
    </row>
    <row r="2809" spans="1:6" x14ac:dyDescent="0.35">
      <c r="A2809" t="s">
        <v>7</v>
      </c>
    </row>
    <row r="2810" spans="1:6" x14ac:dyDescent="0.35">
      <c r="A2810" t="s">
        <v>64</v>
      </c>
      <c r="B2810" t="s">
        <v>65</v>
      </c>
      <c r="C2810" t="s">
        <v>66</v>
      </c>
      <c r="D2810" t="s">
        <v>18</v>
      </c>
      <c r="E2810" t="s">
        <v>67</v>
      </c>
      <c r="F2810" t="s">
        <v>68</v>
      </c>
    </row>
    <row r="2811" spans="1:6" x14ac:dyDescent="0.35">
      <c r="A2811" t="s">
        <v>50</v>
      </c>
      <c r="B2811" t="s">
        <v>51</v>
      </c>
      <c r="C2811" t="s">
        <v>52</v>
      </c>
    </row>
    <row r="2812" spans="1:6" x14ac:dyDescent="0.35">
      <c r="A2812" t="s">
        <v>195</v>
      </c>
      <c r="B2812" t="s">
        <v>1</v>
      </c>
    </row>
    <row r="2813" spans="1:6" x14ac:dyDescent="0.35">
      <c r="A2813" t="s">
        <v>1</v>
      </c>
    </row>
    <row r="2814" spans="1:6" x14ac:dyDescent="0.35">
      <c r="A2814" t="s">
        <v>7</v>
      </c>
    </row>
    <row r="2815" spans="1:6" x14ac:dyDescent="0.35">
      <c r="A2815" t="s">
        <v>1</v>
      </c>
      <c r="B2815" t="s">
        <v>87</v>
      </c>
      <c r="C2815" t="s">
        <v>128</v>
      </c>
    </row>
    <row r="2816" spans="1:6" x14ac:dyDescent="0.35">
      <c r="A2816" t="s">
        <v>11</v>
      </c>
    </row>
    <row r="2817" spans="1:4" x14ac:dyDescent="0.35">
      <c r="A2817" t="s">
        <v>10</v>
      </c>
    </row>
    <row r="2818" spans="1:4" x14ac:dyDescent="0.35">
      <c r="A2818" t="s">
        <v>50</v>
      </c>
      <c r="B2818" t="s">
        <v>51</v>
      </c>
      <c r="C2818" t="s">
        <v>52</v>
      </c>
      <c r="D2818" t="s">
        <v>92</v>
      </c>
    </row>
    <row r="2819" spans="1:4" x14ac:dyDescent="0.35">
      <c r="A2819" t="s">
        <v>7</v>
      </c>
    </row>
    <row r="2820" spans="1:4" x14ac:dyDescent="0.35">
      <c r="A2820" t="s">
        <v>50</v>
      </c>
      <c r="B2820" t="s">
        <v>51</v>
      </c>
      <c r="C2820" t="s">
        <v>52</v>
      </c>
      <c r="D2820" t="s">
        <v>61</v>
      </c>
    </row>
    <row r="2821" spans="1:4" x14ac:dyDescent="0.35">
      <c r="A2821" t="s">
        <v>151</v>
      </c>
      <c r="B2821" t="s">
        <v>152</v>
      </c>
      <c r="C2821" t="s">
        <v>153</v>
      </c>
    </row>
    <row r="2822" spans="1:4" x14ac:dyDescent="0.35">
      <c r="A2822" t="s">
        <v>100</v>
      </c>
      <c r="B2822" t="s">
        <v>101</v>
      </c>
      <c r="C2822" t="s">
        <v>102</v>
      </c>
    </row>
    <row r="2823" spans="1:4" x14ac:dyDescent="0.35">
      <c r="A2823" t="s">
        <v>8</v>
      </c>
    </row>
    <row r="2824" spans="1:4" x14ac:dyDescent="0.35">
      <c r="A2824" t="s">
        <v>3</v>
      </c>
    </row>
    <row r="2825" spans="1:4" x14ac:dyDescent="0.35">
      <c r="A2825" t="s">
        <v>50</v>
      </c>
      <c r="B2825" t="s">
        <v>51</v>
      </c>
      <c r="C2825" t="s">
        <v>52</v>
      </c>
    </row>
    <row r="2826" spans="1:4" x14ac:dyDescent="0.35">
      <c r="A2826" t="s">
        <v>81</v>
      </c>
      <c r="B2826" t="s">
        <v>11</v>
      </c>
    </row>
    <row r="2827" spans="1:4" x14ac:dyDescent="0.35">
      <c r="A2827" t="s">
        <v>7</v>
      </c>
    </row>
    <row r="2828" spans="1:4" x14ac:dyDescent="0.35">
      <c r="A2828" t="s">
        <v>121</v>
      </c>
      <c r="B2828" t="s">
        <v>122</v>
      </c>
    </row>
    <row r="2829" spans="1:4" x14ac:dyDescent="0.35">
      <c r="A2829" t="s">
        <v>18</v>
      </c>
      <c r="B2829" t="s">
        <v>160</v>
      </c>
    </row>
    <row r="2830" spans="1:4" x14ac:dyDescent="0.35">
      <c r="A2830" t="s">
        <v>6</v>
      </c>
    </row>
    <row r="2831" spans="1:4" x14ac:dyDescent="0.35">
      <c r="A2831" t="s">
        <v>8</v>
      </c>
    </row>
    <row r="2832" spans="1:4" x14ac:dyDescent="0.35">
      <c r="A2832" t="s">
        <v>56</v>
      </c>
      <c r="B2832" t="s">
        <v>57</v>
      </c>
    </row>
    <row r="2833" spans="1:6" x14ac:dyDescent="0.35">
      <c r="A2833" t="s">
        <v>50</v>
      </c>
      <c r="B2833" t="s">
        <v>51</v>
      </c>
      <c r="C2833" t="s">
        <v>52</v>
      </c>
      <c r="D2833" t="s">
        <v>72</v>
      </c>
      <c r="E2833" t="s">
        <v>73</v>
      </c>
      <c r="F2833" t="s">
        <v>113</v>
      </c>
    </row>
    <row r="2834" spans="1:6" x14ac:dyDescent="0.35">
      <c r="A2834" t="s">
        <v>7</v>
      </c>
    </row>
    <row r="2835" spans="1:6" x14ac:dyDescent="0.35">
      <c r="A2835" t="s">
        <v>1</v>
      </c>
    </row>
    <row r="2836" spans="1:6" x14ac:dyDescent="0.35">
      <c r="A2836" t="s">
        <v>7</v>
      </c>
    </row>
    <row r="2837" spans="1:6" x14ac:dyDescent="0.35">
      <c r="A2837" t="s">
        <v>17</v>
      </c>
    </row>
    <row r="2838" spans="1:6" x14ac:dyDescent="0.35">
      <c r="A2838" t="s">
        <v>18</v>
      </c>
      <c r="B2838" t="s">
        <v>130</v>
      </c>
    </row>
    <row r="2839" spans="1:6" x14ac:dyDescent="0.35">
      <c r="A2839" t="s">
        <v>50</v>
      </c>
      <c r="B2839" t="s">
        <v>51</v>
      </c>
      <c r="C2839" t="s">
        <v>52</v>
      </c>
    </row>
    <row r="2840" spans="1:6" x14ac:dyDescent="0.35">
      <c r="A2840" t="s">
        <v>7</v>
      </c>
    </row>
    <row r="2841" spans="1:6" x14ac:dyDescent="0.35">
      <c r="A2841" t="s">
        <v>11</v>
      </c>
    </row>
    <row r="2842" spans="1:6" x14ac:dyDescent="0.35">
      <c r="A2842" t="s">
        <v>64</v>
      </c>
      <c r="B2842" t="s">
        <v>66</v>
      </c>
      <c r="C2842" t="s">
        <v>18</v>
      </c>
      <c r="D2842" t="s">
        <v>67</v>
      </c>
      <c r="E2842" t="s">
        <v>68</v>
      </c>
    </row>
    <row r="2843" spans="1:6" x14ac:dyDescent="0.35">
      <c r="A2843" t="s">
        <v>12</v>
      </c>
    </row>
    <row r="2844" spans="1:6" x14ac:dyDescent="0.35">
      <c r="A2844" t="s">
        <v>81</v>
      </c>
      <c r="B2844" t="s">
        <v>11</v>
      </c>
    </row>
    <row r="2845" spans="1:6" x14ac:dyDescent="0.35">
      <c r="A2845" t="s">
        <v>17</v>
      </c>
    </row>
    <row r="2846" spans="1:6" x14ac:dyDescent="0.35">
      <c r="A2846" t="s">
        <v>1</v>
      </c>
    </row>
    <row r="2847" spans="1:6" x14ac:dyDescent="0.35">
      <c r="A2847" t="s">
        <v>1</v>
      </c>
    </row>
    <row r="2848" spans="1:6" x14ac:dyDescent="0.35">
      <c r="A2848" t="s">
        <v>1</v>
      </c>
    </row>
    <row r="2849" spans="1:5" x14ac:dyDescent="0.35">
      <c r="A2849" t="s">
        <v>50</v>
      </c>
      <c r="B2849" t="s">
        <v>51</v>
      </c>
      <c r="C2849" t="s">
        <v>52</v>
      </c>
    </row>
    <row r="2850" spans="1:5" x14ac:dyDescent="0.35">
      <c r="A2850" t="s">
        <v>151</v>
      </c>
      <c r="B2850" t="s">
        <v>152</v>
      </c>
      <c r="C2850" t="s">
        <v>153</v>
      </c>
    </row>
    <row r="2851" spans="1:5" x14ac:dyDescent="0.35">
      <c r="A2851" t="s">
        <v>7</v>
      </c>
    </row>
    <row r="2852" spans="1:5" x14ac:dyDescent="0.35">
      <c r="A2852" t="s">
        <v>87</v>
      </c>
      <c r="B2852" t="s">
        <v>216</v>
      </c>
    </row>
    <row r="2853" spans="1:5" x14ac:dyDescent="0.35">
      <c r="A2853" t="s">
        <v>7</v>
      </c>
    </row>
    <row r="2854" spans="1:5" x14ac:dyDescent="0.35">
      <c r="A2854" t="s">
        <v>50</v>
      </c>
      <c r="B2854" t="s">
        <v>51</v>
      </c>
      <c r="C2854" t="s">
        <v>52</v>
      </c>
      <c r="D2854" t="s">
        <v>61</v>
      </c>
    </row>
    <row r="2855" spans="1:5" x14ac:dyDescent="0.35">
      <c r="A2855" t="s">
        <v>1</v>
      </c>
      <c r="B2855" t="s">
        <v>87</v>
      </c>
      <c r="C2855" t="s">
        <v>128</v>
      </c>
    </row>
    <row r="2856" spans="1:5" x14ac:dyDescent="0.35">
      <c r="A2856" t="s">
        <v>17</v>
      </c>
    </row>
    <row r="2857" spans="1:5" x14ac:dyDescent="0.35">
      <c r="A2857" t="s">
        <v>81</v>
      </c>
      <c r="B2857" t="s">
        <v>11</v>
      </c>
    </row>
    <row r="2858" spans="1:5" x14ac:dyDescent="0.35">
      <c r="A2858" t="s">
        <v>11</v>
      </c>
    </row>
    <row r="2859" spans="1:5" x14ac:dyDescent="0.35">
      <c r="A2859" t="s">
        <v>96</v>
      </c>
      <c r="B2859" t="s">
        <v>66</v>
      </c>
      <c r="C2859" t="s">
        <v>18</v>
      </c>
      <c r="D2859" t="s">
        <v>67</v>
      </c>
      <c r="E2859" t="s">
        <v>68</v>
      </c>
    </row>
    <row r="2860" spans="1:5" x14ac:dyDescent="0.35">
      <c r="A2860" t="s">
        <v>12</v>
      </c>
    </row>
    <row r="2861" spans="1:5" x14ac:dyDescent="0.35">
      <c r="A2861" t="s">
        <v>50</v>
      </c>
      <c r="B2861" t="s">
        <v>51</v>
      </c>
      <c r="C2861" t="s">
        <v>52</v>
      </c>
      <c r="D2861" t="s">
        <v>63</v>
      </c>
    </row>
    <row r="2862" spans="1:5" x14ac:dyDescent="0.35">
      <c r="A2862" t="s">
        <v>17</v>
      </c>
    </row>
    <row r="2863" spans="1:5" x14ac:dyDescent="0.35">
      <c r="A2863" t="s">
        <v>6</v>
      </c>
    </row>
    <row r="2864" spans="1:5" x14ac:dyDescent="0.35">
      <c r="A2864" t="s">
        <v>165</v>
      </c>
      <c r="B2864" t="s">
        <v>1</v>
      </c>
    </row>
    <row r="2865" spans="1:7" x14ac:dyDescent="0.35">
      <c r="A2865" t="s">
        <v>56</v>
      </c>
      <c r="B2865" t="s">
        <v>57</v>
      </c>
      <c r="C2865" t="s">
        <v>171</v>
      </c>
      <c r="D2865" t="s">
        <v>172</v>
      </c>
      <c r="E2865" t="s">
        <v>173</v>
      </c>
    </row>
    <row r="2866" spans="1:7" x14ac:dyDescent="0.35">
      <c r="A2866" t="s">
        <v>18</v>
      </c>
      <c r="B2866" t="s">
        <v>160</v>
      </c>
    </row>
    <row r="2867" spans="1:7" x14ac:dyDescent="0.35">
      <c r="A2867" t="s">
        <v>64</v>
      </c>
      <c r="B2867" t="s">
        <v>65</v>
      </c>
      <c r="C2867" t="s">
        <v>158</v>
      </c>
      <c r="D2867" t="s">
        <v>66</v>
      </c>
      <c r="E2867" t="s">
        <v>18</v>
      </c>
      <c r="F2867" t="s">
        <v>67</v>
      </c>
      <c r="G2867" t="s">
        <v>68</v>
      </c>
    </row>
    <row r="2868" spans="1:7" x14ac:dyDescent="0.35">
      <c r="A2868" t="s">
        <v>50</v>
      </c>
      <c r="B2868" t="s">
        <v>51</v>
      </c>
      <c r="C2868" t="s">
        <v>82</v>
      </c>
      <c r="D2868" t="s">
        <v>52</v>
      </c>
      <c r="E2868" t="s">
        <v>77</v>
      </c>
      <c r="F2868" t="s">
        <v>83</v>
      </c>
      <c r="G2868" t="s">
        <v>84</v>
      </c>
    </row>
    <row r="2869" spans="1:7" x14ac:dyDescent="0.35">
      <c r="A2869" t="s">
        <v>12</v>
      </c>
    </row>
    <row r="2870" spans="1:7" x14ac:dyDescent="0.35">
      <c r="A2870" t="s">
        <v>2</v>
      </c>
    </row>
    <row r="2871" spans="1:7" x14ac:dyDescent="0.35">
      <c r="A2871" t="s">
        <v>18</v>
      </c>
    </row>
    <row r="2872" spans="1:7" x14ac:dyDescent="0.35">
      <c r="A2872" t="s">
        <v>50</v>
      </c>
      <c r="B2872" t="s">
        <v>51</v>
      </c>
      <c r="C2872" t="s">
        <v>52</v>
      </c>
    </row>
    <row r="2873" spans="1:7" x14ac:dyDescent="0.35">
      <c r="A2873" t="s">
        <v>96</v>
      </c>
      <c r="B2873" t="s">
        <v>18</v>
      </c>
    </row>
    <row r="2874" spans="1:7" x14ac:dyDescent="0.35">
      <c r="A2874" t="s">
        <v>96</v>
      </c>
      <c r="B2874" t="s">
        <v>18</v>
      </c>
    </row>
    <row r="2875" spans="1:7" x14ac:dyDescent="0.35">
      <c r="A2875" t="s">
        <v>18</v>
      </c>
      <c r="B2875" t="s">
        <v>160</v>
      </c>
    </row>
    <row r="2876" spans="1:7" x14ac:dyDescent="0.35">
      <c r="A2876" t="s">
        <v>1</v>
      </c>
      <c r="B2876" t="s">
        <v>87</v>
      </c>
      <c r="C2876" t="s">
        <v>188</v>
      </c>
    </row>
    <row r="2877" spans="1:7" x14ac:dyDescent="0.35">
      <c r="A2877" t="s">
        <v>105</v>
      </c>
      <c r="B2877" t="s">
        <v>14</v>
      </c>
    </row>
    <row r="2878" spans="1:7" x14ac:dyDescent="0.35">
      <c r="A2878" t="s">
        <v>1</v>
      </c>
    </row>
    <row r="2879" spans="1:7" x14ac:dyDescent="0.35">
      <c r="A2879" t="s">
        <v>3</v>
      </c>
    </row>
    <row r="2880" spans="1:7" x14ac:dyDescent="0.35">
      <c r="A2880" t="s">
        <v>25</v>
      </c>
    </row>
    <row r="2881" spans="1:6" x14ac:dyDescent="0.35">
      <c r="A2881" t="s">
        <v>18</v>
      </c>
      <c r="B2881" t="s">
        <v>130</v>
      </c>
    </row>
    <row r="2882" spans="1:6" x14ac:dyDescent="0.35">
      <c r="A2882" t="s">
        <v>162</v>
      </c>
      <c r="B2882" t="s">
        <v>124</v>
      </c>
    </row>
    <row r="2883" spans="1:6" x14ac:dyDescent="0.35">
      <c r="A2883" t="s">
        <v>81</v>
      </c>
      <c r="B2883" t="s">
        <v>11</v>
      </c>
    </row>
    <row r="2884" spans="1:6" x14ac:dyDescent="0.35">
      <c r="A2884" t="s">
        <v>56</v>
      </c>
      <c r="B2884" t="s">
        <v>57</v>
      </c>
      <c r="C2884" t="s">
        <v>171</v>
      </c>
      <c r="D2884" t="s">
        <v>172</v>
      </c>
      <c r="E2884" t="s">
        <v>173</v>
      </c>
    </row>
    <row r="2885" spans="1:6" x14ac:dyDescent="0.35">
      <c r="A2885" t="s">
        <v>40</v>
      </c>
    </row>
    <row r="2886" spans="1:6" x14ac:dyDescent="0.35">
      <c r="A2886" t="s">
        <v>7</v>
      </c>
    </row>
    <row r="2887" spans="1:6" x14ac:dyDescent="0.35">
      <c r="A2887" t="s">
        <v>12</v>
      </c>
    </row>
    <row r="2888" spans="1:6" x14ac:dyDescent="0.35">
      <c r="A2888" t="s">
        <v>50</v>
      </c>
      <c r="B2888" t="s">
        <v>51</v>
      </c>
      <c r="C2888" t="s">
        <v>52</v>
      </c>
    </row>
    <row r="2889" spans="1:6" x14ac:dyDescent="0.35">
      <c r="A2889" t="s">
        <v>18</v>
      </c>
      <c r="B2889" t="s">
        <v>178</v>
      </c>
    </row>
    <row r="2890" spans="1:6" x14ac:dyDescent="0.35">
      <c r="A2890" t="s">
        <v>50</v>
      </c>
      <c r="B2890" t="s">
        <v>51</v>
      </c>
      <c r="C2890" t="s">
        <v>52</v>
      </c>
      <c r="D2890" t="s">
        <v>63</v>
      </c>
    </row>
    <row r="2891" spans="1:6" x14ac:dyDescent="0.35">
      <c r="A2891" t="s">
        <v>96</v>
      </c>
      <c r="B2891" t="s">
        <v>18</v>
      </c>
    </row>
    <row r="2892" spans="1:6" x14ac:dyDescent="0.35">
      <c r="A2892" t="s">
        <v>3</v>
      </c>
    </row>
    <row r="2893" spans="1:6" x14ac:dyDescent="0.35">
      <c r="A2893" t="s">
        <v>3</v>
      </c>
    </row>
    <row r="2894" spans="1:6" x14ac:dyDescent="0.35">
      <c r="A2894" t="s">
        <v>115</v>
      </c>
      <c r="B2894" t="s">
        <v>11</v>
      </c>
    </row>
    <row r="2895" spans="1:6" x14ac:dyDescent="0.35">
      <c r="A2895" t="s">
        <v>96</v>
      </c>
      <c r="B2895" t="s">
        <v>176</v>
      </c>
      <c r="C2895" t="s">
        <v>66</v>
      </c>
      <c r="D2895" t="s">
        <v>18</v>
      </c>
      <c r="E2895" t="s">
        <v>67</v>
      </c>
      <c r="F2895" t="s">
        <v>68</v>
      </c>
    </row>
    <row r="2896" spans="1:6" x14ac:dyDescent="0.35">
      <c r="A2896" t="s">
        <v>6</v>
      </c>
    </row>
    <row r="2897" spans="1:9" x14ac:dyDescent="0.35">
      <c r="A2897" t="s">
        <v>159</v>
      </c>
      <c r="B2897" t="s">
        <v>11</v>
      </c>
    </row>
    <row r="2898" spans="1:9" x14ac:dyDescent="0.35">
      <c r="A2898" t="s">
        <v>237</v>
      </c>
      <c r="B2898" t="s">
        <v>238</v>
      </c>
      <c r="C2898" t="s">
        <v>239</v>
      </c>
      <c r="D2898" t="s">
        <v>198</v>
      </c>
    </row>
    <row r="2899" spans="1:9" x14ac:dyDescent="0.35">
      <c r="A2899" t="s">
        <v>1</v>
      </c>
    </row>
    <row r="2900" spans="1:9" x14ac:dyDescent="0.35">
      <c r="A2900" t="s">
        <v>138</v>
      </c>
      <c r="B2900" t="s">
        <v>197</v>
      </c>
      <c r="C2900" t="s">
        <v>139</v>
      </c>
      <c r="D2900" t="s">
        <v>140</v>
      </c>
      <c r="E2900" t="s">
        <v>141</v>
      </c>
      <c r="F2900" t="s">
        <v>142</v>
      </c>
      <c r="G2900" t="s">
        <v>124</v>
      </c>
    </row>
    <row r="2901" spans="1:9" x14ac:dyDescent="0.35">
      <c r="A2901" t="s">
        <v>8</v>
      </c>
    </row>
    <row r="2902" spans="1:9" x14ac:dyDescent="0.35">
      <c r="A2902" t="s">
        <v>64</v>
      </c>
      <c r="B2902" t="s">
        <v>65</v>
      </c>
      <c r="C2902" t="s">
        <v>91</v>
      </c>
      <c r="D2902" t="s">
        <v>18</v>
      </c>
    </row>
    <row r="2903" spans="1:9" x14ac:dyDescent="0.35">
      <c r="A2903" t="s">
        <v>1</v>
      </c>
    </row>
    <row r="2904" spans="1:9" x14ac:dyDescent="0.35">
      <c r="A2904" t="s">
        <v>138</v>
      </c>
      <c r="B2904" t="s">
        <v>139</v>
      </c>
      <c r="C2904" t="s">
        <v>140</v>
      </c>
      <c r="D2904" t="s">
        <v>141</v>
      </c>
      <c r="E2904" t="s">
        <v>142</v>
      </c>
      <c r="F2904" t="s">
        <v>124</v>
      </c>
      <c r="G2904" t="s">
        <v>143</v>
      </c>
      <c r="H2904" t="s">
        <v>199</v>
      </c>
      <c r="I2904" t="s">
        <v>145</v>
      </c>
    </row>
    <row r="2905" spans="1:9" x14ac:dyDescent="0.35">
      <c r="A2905" t="s">
        <v>87</v>
      </c>
      <c r="B2905" t="s">
        <v>216</v>
      </c>
    </row>
    <row r="2906" spans="1:9" x14ac:dyDescent="0.35">
      <c r="A2906" t="s">
        <v>155</v>
      </c>
      <c r="B2906" t="s">
        <v>156</v>
      </c>
      <c r="C2906" t="s">
        <v>157</v>
      </c>
    </row>
    <row r="2907" spans="1:9" x14ac:dyDescent="0.35">
      <c r="A2907" t="s">
        <v>18</v>
      </c>
      <c r="B2907" t="s">
        <v>130</v>
      </c>
    </row>
    <row r="2908" spans="1:9" x14ac:dyDescent="0.35">
      <c r="A2908" t="s">
        <v>96</v>
      </c>
      <c r="B2908" t="s">
        <v>18</v>
      </c>
    </row>
    <row r="2909" spans="1:9" x14ac:dyDescent="0.35">
      <c r="A2909" t="s">
        <v>6</v>
      </c>
    </row>
    <row r="2910" spans="1:9" x14ac:dyDescent="0.35">
      <c r="A2910" t="s">
        <v>64</v>
      </c>
      <c r="B2910" t="s">
        <v>65</v>
      </c>
      <c r="C2910" t="s">
        <v>66</v>
      </c>
      <c r="D2910" t="s">
        <v>18</v>
      </c>
      <c r="E2910" t="s">
        <v>129</v>
      </c>
      <c r="F2910" t="s">
        <v>67</v>
      </c>
      <c r="G2910" t="s">
        <v>68</v>
      </c>
    </row>
    <row r="2911" spans="1:9" x14ac:dyDescent="0.35">
      <c r="A2911" t="s">
        <v>64</v>
      </c>
      <c r="B2911" t="s">
        <v>65</v>
      </c>
      <c r="C2911" t="s">
        <v>66</v>
      </c>
      <c r="D2911" t="s">
        <v>18</v>
      </c>
      <c r="E2911" t="s">
        <v>129</v>
      </c>
      <c r="F2911" t="s">
        <v>67</v>
      </c>
      <c r="G2911" t="s">
        <v>68</v>
      </c>
    </row>
    <row r="2912" spans="1:9" x14ac:dyDescent="0.35">
      <c r="A2912" t="s">
        <v>100</v>
      </c>
      <c r="B2912" t="s">
        <v>101</v>
      </c>
      <c r="C2912" t="s">
        <v>102</v>
      </c>
    </row>
    <row r="2913" spans="1:4" x14ac:dyDescent="0.35">
      <c r="A2913" t="s">
        <v>50</v>
      </c>
      <c r="B2913" t="s">
        <v>51</v>
      </c>
      <c r="C2913" t="s">
        <v>52</v>
      </c>
    </row>
    <row r="2914" spans="1:4" x14ac:dyDescent="0.35">
      <c r="A2914" t="s">
        <v>96</v>
      </c>
      <c r="B2914" t="s">
        <v>18</v>
      </c>
    </row>
    <row r="2915" spans="1:4" x14ac:dyDescent="0.35">
      <c r="A2915" t="s">
        <v>40</v>
      </c>
    </row>
    <row r="2916" spans="1:4" x14ac:dyDescent="0.35">
      <c r="A2916" t="s">
        <v>1</v>
      </c>
    </row>
    <row r="2917" spans="1:4" x14ac:dyDescent="0.35">
      <c r="A2917" t="s">
        <v>105</v>
      </c>
      <c r="B2917" t="s">
        <v>137</v>
      </c>
      <c r="C2917" t="s">
        <v>11</v>
      </c>
    </row>
    <row r="2918" spans="1:4" x14ac:dyDescent="0.35">
      <c r="A2918" t="s">
        <v>50</v>
      </c>
      <c r="B2918" t="s">
        <v>51</v>
      </c>
      <c r="C2918" t="s">
        <v>52</v>
      </c>
    </row>
    <row r="2919" spans="1:4" x14ac:dyDescent="0.35">
      <c r="A2919" t="s">
        <v>10</v>
      </c>
    </row>
    <row r="2920" spans="1:4" x14ac:dyDescent="0.35">
      <c r="A2920" t="s">
        <v>1</v>
      </c>
    </row>
    <row r="2921" spans="1:4" x14ac:dyDescent="0.35">
      <c r="A2921" t="s">
        <v>166</v>
      </c>
      <c r="B2921" t="s">
        <v>167</v>
      </c>
      <c r="C2921" t="s">
        <v>168</v>
      </c>
      <c r="D2921" t="s">
        <v>169</v>
      </c>
    </row>
    <row r="2922" spans="1:4" x14ac:dyDescent="0.35">
      <c r="A2922" t="s">
        <v>7</v>
      </c>
    </row>
    <row r="2923" spans="1:4" x14ac:dyDescent="0.35">
      <c r="A2923" t="s">
        <v>50</v>
      </c>
      <c r="B2923" t="s">
        <v>51</v>
      </c>
      <c r="C2923" t="s">
        <v>52</v>
      </c>
      <c r="D2923" t="s">
        <v>63</v>
      </c>
    </row>
    <row r="2924" spans="1:4" x14ac:dyDescent="0.35">
      <c r="A2924" t="s">
        <v>100</v>
      </c>
      <c r="B2924" t="s">
        <v>101</v>
      </c>
      <c r="C2924" t="s">
        <v>102</v>
      </c>
    </row>
    <row r="2925" spans="1:4" x14ac:dyDescent="0.35">
      <c r="A2925" t="s">
        <v>1</v>
      </c>
      <c r="B2925" t="s">
        <v>87</v>
      </c>
      <c r="C2925" t="s">
        <v>170</v>
      </c>
    </row>
    <row r="2926" spans="1:4" x14ac:dyDescent="0.35">
      <c r="A2926" t="s">
        <v>50</v>
      </c>
      <c r="B2926" t="s">
        <v>51</v>
      </c>
      <c r="C2926" t="s">
        <v>52</v>
      </c>
      <c r="D2926" t="s">
        <v>63</v>
      </c>
    </row>
    <row r="2927" spans="1:4" x14ac:dyDescent="0.35">
      <c r="A2927" t="s">
        <v>3</v>
      </c>
    </row>
    <row r="2928" spans="1:4" x14ac:dyDescent="0.35">
      <c r="A2928" t="s">
        <v>7</v>
      </c>
    </row>
    <row r="2929" spans="1:6" x14ac:dyDescent="0.35">
      <c r="A2929" t="s">
        <v>1</v>
      </c>
      <c r="B2929" t="s">
        <v>87</v>
      </c>
      <c r="C2929" t="s">
        <v>131</v>
      </c>
    </row>
    <row r="2930" spans="1:6" x14ac:dyDescent="0.35">
      <c r="A2930" t="s">
        <v>10</v>
      </c>
    </row>
    <row r="2931" spans="1:6" x14ac:dyDescent="0.35">
      <c r="A2931" t="s">
        <v>64</v>
      </c>
      <c r="B2931" t="s">
        <v>65</v>
      </c>
      <c r="C2931" t="s">
        <v>66</v>
      </c>
      <c r="D2931" t="s">
        <v>18</v>
      </c>
      <c r="E2931" t="s">
        <v>67</v>
      </c>
      <c r="F2931" t="s">
        <v>68</v>
      </c>
    </row>
    <row r="2932" spans="1:6" x14ac:dyDescent="0.35">
      <c r="A2932" t="s">
        <v>10</v>
      </c>
    </row>
    <row r="2933" spans="1:6" x14ac:dyDescent="0.35">
      <c r="A2933" t="s">
        <v>18</v>
      </c>
      <c r="B2933" t="s">
        <v>130</v>
      </c>
    </row>
    <row r="2934" spans="1:6" x14ac:dyDescent="0.35">
      <c r="A2934" t="s">
        <v>100</v>
      </c>
      <c r="B2934" t="s">
        <v>101</v>
      </c>
      <c r="C2934" t="s">
        <v>102</v>
      </c>
    </row>
    <row r="2935" spans="1:6" x14ac:dyDescent="0.35">
      <c r="A2935" t="s">
        <v>1</v>
      </c>
      <c r="B2935" t="s">
        <v>87</v>
      </c>
      <c r="C2935" t="s">
        <v>128</v>
      </c>
    </row>
    <row r="2936" spans="1:6" x14ac:dyDescent="0.35">
      <c r="A2936" t="s">
        <v>1</v>
      </c>
    </row>
    <row r="2937" spans="1:6" x14ac:dyDescent="0.35">
      <c r="A2937" t="s">
        <v>31</v>
      </c>
    </row>
    <row r="2938" spans="1:6" x14ac:dyDescent="0.35">
      <c r="A2938" t="s">
        <v>12</v>
      </c>
    </row>
    <row r="2939" spans="1:6" x14ac:dyDescent="0.35">
      <c r="A2939" t="s">
        <v>126</v>
      </c>
      <c r="B2939" t="s">
        <v>127</v>
      </c>
    </row>
    <row r="2940" spans="1:6" x14ac:dyDescent="0.35">
      <c r="A2940" t="s">
        <v>64</v>
      </c>
      <c r="B2940" t="s">
        <v>66</v>
      </c>
      <c r="C2940" t="s">
        <v>18</v>
      </c>
      <c r="D2940" t="s">
        <v>67</v>
      </c>
      <c r="E2940" t="s">
        <v>68</v>
      </c>
    </row>
    <row r="2941" spans="1:6" x14ac:dyDescent="0.35">
      <c r="A2941" t="s">
        <v>8</v>
      </c>
    </row>
    <row r="2942" spans="1:6" x14ac:dyDescent="0.35">
      <c r="A2942" t="s">
        <v>50</v>
      </c>
      <c r="B2942" t="s">
        <v>51</v>
      </c>
      <c r="C2942" t="s">
        <v>52</v>
      </c>
      <c r="D2942" t="s">
        <v>63</v>
      </c>
    </row>
    <row r="2943" spans="1:6" x14ac:dyDescent="0.35">
      <c r="A2943" t="s">
        <v>7</v>
      </c>
    </row>
    <row r="2944" spans="1:6" x14ac:dyDescent="0.35">
      <c r="A2944" t="s">
        <v>1</v>
      </c>
    </row>
    <row r="2945" spans="1:9" x14ac:dyDescent="0.35">
      <c r="A2945" t="s">
        <v>64</v>
      </c>
      <c r="B2945" t="s">
        <v>66</v>
      </c>
      <c r="C2945" t="s">
        <v>18</v>
      </c>
      <c r="D2945" t="s">
        <v>67</v>
      </c>
      <c r="E2945" t="s">
        <v>68</v>
      </c>
    </row>
    <row r="2946" spans="1:9" x14ac:dyDescent="0.35">
      <c r="A2946" t="s">
        <v>9</v>
      </c>
    </row>
    <row r="2947" spans="1:9" x14ac:dyDescent="0.35">
      <c r="A2947" t="s">
        <v>7</v>
      </c>
    </row>
    <row r="2948" spans="1:9" x14ac:dyDescent="0.35">
      <c r="A2948" t="s">
        <v>50</v>
      </c>
      <c r="B2948" t="s">
        <v>51</v>
      </c>
      <c r="C2948" t="s">
        <v>52</v>
      </c>
    </row>
    <row r="2949" spans="1:9" x14ac:dyDescent="0.35">
      <c r="A2949" t="s">
        <v>18</v>
      </c>
    </row>
    <row r="2950" spans="1:9" x14ac:dyDescent="0.35">
      <c r="A2950" t="s">
        <v>15</v>
      </c>
    </row>
    <row r="2951" spans="1:9" x14ac:dyDescent="0.35">
      <c r="A2951" t="s">
        <v>6</v>
      </c>
    </row>
    <row r="2952" spans="1:9" x14ac:dyDescent="0.35">
      <c r="A2952" t="s">
        <v>50</v>
      </c>
      <c r="B2952" t="s">
        <v>51</v>
      </c>
      <c r="C2952" t="s">
        <v>52</v>
      </c>
    </row>
    <row r="2953" spans="1:9" x14ac:dyDescent="0.35">
      <c r="A2953" t="s">
        <v>10</v>
      </c>
    </row>
    <row r="2954" spans="1:9" x14ac:dyDescent="0.35">
      <c r="A2954" t="s">
        <v>1</v>
      </c>
    </row>
    <row r="2955" spans="1:9" x14ac:dyDescent="0.35">
      <c r="A2955" t="s">
        <v>81</v>
      </c>
      <c r="B2955" t="s">
        <v>11</v>
      </c>
    </row>
    <row r="2956" spans="1:9" x14ac:dyDescent="0.35">
      <c r="A2956" t="s">
        <v>96</v>
      </c>
      <c r="B2956" t="s">
        <v>176</v>
      </c>
      <c r="C2956" t="s">
        <v>66</v>
      </c>
      <c r="D2956" t="s">
        <v>18</v>
      </c>
      <c r="E2956" t="s">
        <v>67</v>
      </c>
      <c r="F2956" t="s">
        <v>68</v>
      </c>
    </row>
    <row r="2957" spans="1:9" x14ac:dyDescent="0.35">
      <c r="A2957" t="s">
        <v>3</v>
      </c>
    </row>
    <row r="2958" spans="1:9" x14ac:dyDescent="0.35">
      <c r="A2958" t="s">
        <v>7</v>
      </c>
    </row>
    <row r="2959" spans="1:9" x14ac:dyDescent="0.35">
      <c r="A2959" t="s">
        <v>138</v>
      </c>
      <c r="B2959" t="s">
        <v>139</v>
      </c>
      <c r="C2959" t="s">
        <v>140</v>
      </c>
      <c r="D2959" t="s">
        <v>141</v>
      </c>
      <c r="E2959" t="s">
        <v>142</v>
      </c>
      <c r="F2959" t="s">
        <v>124</v>
      </c>
      <c r="G2959" t="s">
        <v>143</v>
      </c>
      <c r="H2959" t="s">
        <v>206</v>
      </c>
      <c r="I2959" t="s">
        <v>145</v>
      </c>
    </row>
    <row r="2960" spans="1:9" x14ac:dyDescent="0.35">
      <c r="A2960" t="s">
        <v>10</v>
      </c>
    </row>
    <row r="2961" spans="1:7" x14ac:dyDescent="0.35">
      <c r="A2961" t="s">
        <v>56</v>
      </c>
      <c r="B2961" t="s">
        <v>57</v>
      </c>
      <c r="C2961" t="s">
        <v>99</v>
      </c>
    </row>
    <row r="2962" spans="1:7" x14ac:dyDescent="0.35">
      <c r="A2962" t="s">
        <v>1</v>
      </c>
    </row>
    <row r="2963" spans="1:7" x14ac:dyDescent="0.35">
      <c r="A2963" t="s">
        <v>11</v>
      </c>
    </row>
    <row r="2964" spans="1:7" x14ac:dyDescent="0.35">
      <c r="A2964" t="s">
        <v>1</v>
      </c>
      <c r="B2964" t="s">
        <v>87</v>
      </c>
      <c r="C2964" t="s">
        <v>120</v>
      </c>
    </row>
    <row r="2965" spans="1:7" x14ac:dyDescent="0.35">
      <c r="A2965" t="s">
        <v>7</v>
      </c>
    </row>
    <row r="2966" spans="1:7" x14ac:dyDescent="0.35">
      <c r="A2966" t="s">
        <v>50</v>
      </c>
      <c r="B2966" t="s">
        <v>51</v>
      </c>
      <c r="C2966" t="s">
        <v>52</v>
      </c>
      <c r="D2966" t="s">
        <v>112</v>
      </c>
    </row>
    <row r="2967" spans="1:7" x14ac:dyDescent="0.35">
      <c r="A2967" t="s">
        <v>11</v>
      </c>
    </row>
    <row r="2968" spans="1:7" x14ac:dyDescent="0.35">
      <c r="A2968" t="s">
        <v>2</v>
      </c>
    </row>
    <row r="2969" spans="1:7" x14ac:dyDescent="0.35">
      <c r="A2969" t="s">
        <v>108</v>
      </c>
      <c r="B2969" t="s">
        <v>11</v>
      </c>
    </row>
    <row r="2970" spans="1:7" x14ac:dyDescent="0.35">
      <c r="A2970" t="s">
        <v>29</v>
      </c>
      <c r="B2970" t="s">
        <v>207</v>
      </c>
      <c r="C2970" t="s">
        <v>167</v>
      </c>
      <c r="D2970" t="s">
        <v>208</v>
      </c>
      <c r="E2970" t="s">
        <v>168</v>
      </c>
      <c r="F2970" t="s">
        <v>209</v>
      </c>
    </row>
    <row r="2971" spans="1:7" x14ac:dyDescent="0.35">
      <c r="A2971" t="s">
        <v>50</v>
      </c>
      <c r="B2971" t="s">
        <v>51</v>
      </c>
      <c r="C2971" t="s">
        <v>82</v>
      </c>
      <c r="D2971" t="s">
        <v>52</v>
      </c>
      <c r="E2971" t="s">
        <v>77</v>
      </c>
      <c r="F2971" t="s">
        <v>83</v>
      </c>
      <c r="G2971" t="s">
        <v>84</v>
      </c>
    </row>
    <row r="2972" spans="1:7" x14ac:dyDescent="0.35">
      <c r="A2972" t="s">
        <v>1</v>
      </c>
    </row>
    <row r="2973" spans="1:7" x14ac:dyDescent="0.35">
      <c r="A2973" t="s">
        <v>17</v>
      </c>
    </row>
    <row r="2974" spans="1:7" x14ac:dyDescent="0.35">
      <c r="A2974" t="s">
        <v>23</v>
      </c>
    </row>
    <row r="2975" spans="1:7" x14ac:dyDescent="0.35">
      <c r="A2975" t="s">
        <v>7</v>
      </c>
    </row>
    <row r="2976" spans="1:7" x14ac:dyDescent="0.35">
      <c r="A2976" t="s">
        <v>18</v>
      </c>
      <c r="B2976" t="s">
        <v>160</v>
      </c>
    </row>
    <row r="2977" spans="1:9" x14ac:dyDescent="0.35">
      <c r="A2977" t="s">
        <v>56</v>
      </c>
      <c r="B2977" t="s">
        <v>57</v>
      </c>
    </row>
    <row r="2978" spans="1:9" x14ac:dyDescent="0.35">
      <c r="A2978" t="s">
        <v>1</v>
      </c>
      <c r="B2978" t="s">
        <v>87</v>
      </c>
      <c r="C2978" t="s">
        <v>204</v>
      </c>
    </row>
    <row r="2979" spans="1:9" x14ac:dyDescent="0.35">
      <c r="A2979" t="s">
        <v>12</v>
      </c>
    </row>
    <row r="2980" spans="1:9" x14ac:dyDescent="0.35">
      <c r="A2980" t="s">
        <v>64</v>
      </c>
      <c r="B2980" t="s">
        <v>18</v>
      </c>
    </row>
    <row r="2981" spans="1:9" x14ac:dyDescent="0.35">
      <c r="A2981" t="s">
        <v>1</v>
      </c>
    </row>
    <row r="2982" spans="1:9" x14ac:dyDescent="0.35">
      <c r="A2982" t="s">
        <v>1</v>
      </c>
    </row>
    <row r="2983" spans="1:9" x14ac:dyDescent="0.35">
      <c r="A2983" t="s">
        <v>18</v>
      </c>
      <c r="B2983" t="s">
        <v>160</v>
      </c>
    </row>
    <row r="2984" spans="1:9" x14ac:dyDescent="0.35">
      <c r="A2984" t="s">
        <v>1</v>
      </c>
    </row>
    <row r="2985" spans="1:9" x14ac:dyDescent="0.35">
      <c r="A2985" t="s">
        <v>96</v>
      </c>
      <c r="B2985" t="s">
        <v>18</v>
      </c>
    </row>
    <row r="2986" spans="1:9" x14ac:dyDescent="0.35">
      <c r="A2986" t="s">
        <v>81</v>
      </c>
      <c r="B2986" t="s">
        <v>11</v>
      </c>
    </row>
    <row r="2987" spans="1:9" x14ac:dyDescent="0.35">
      <c r="A2987" t="s">
        <v>96</v>
      </c>
      <c r="B2987" t="s">
        <v>176</v>
      </c>
      <c r="C2987" t="s">
        <v>66</v>
      </c>
      <c r="D2987" t="s">
        <v>18</v>
      </c>
      <c r="E2987" t="s">
        <v>67</v>
      </c>
      <c r="F2987" t="s">
        <v>68</v>
      </c>
    </row>
    <row r="2988" spans="1:9" x14ac:dyDescent="0.35">
      <c r="A2988" t="s">
        <v>50</v>
      </c>
      <c r="B2988" t="s">
        <v>51</v>
      </c>
      <c r="C2988" t="s">
        <v>52</v>
      </c>
    </row>
    <row r="2989" spans="1:9" x14ac:dyDescent="0.35">
      <c r="A2989" t="s">
        <v>138</v>
      </c>
      <c r="B2989" t="s">
        <v>139</v>
      </c>
      <c r="C2989" t="s">
        <v>140</v>
      </c>
      <c r="D2989" t="s">
        <v>141</v>
      </c>
      <c r="E2989" t="s">
        <v>142</v>
      </c>
      <c r="F2989" t="s">
        <v>124</v>
      </c>
      <c r="G2989" t="s">
        <v>143</v>
      </c>
      <c r="H2989" t="s">
        <v>224</v>
      </c>
      <c r="I2989" t="s">
        <v>145</v>
      </c>
    </row>
    <row r="2990" spans="1:9" x14ac:dyDescent="0.35">
      <c r="A2990" t="s">
        <v>17</v>
      </c>
    </row>
    <row r="2991" spans="1:9" x14ac:dyDescent="0.35">
      <c r="A2991" t="s">
        <v>10</v>
      </c>
    </row>
    <row r="2992" spans="1:9" x14ac:dyDescent="0.35">
      <c r="A2992" t="s">
        <v>64</v>
      </c>
      <c r="B2992" t="s">
        <v>65</v>
      </c>
      <c r="C2992" t="s">
        <v>66</v>
      </c>
      <c r="D2992" t="s">
        <v>18</v>
      </c>
      <c r="E2992" t="s">
        <v>67</v>
      </c>
      <c r="F2992" t="s">
        <v>68</v>
      </c>
    </row>
    <row r="2993" spans="1:6" x14ac:dyDescent="0.35">
      <c r="A2993" t="s">
        <v>50</v>
      </c>
      <c r="B2993" t="s">
        <v>51</v>
      </c>
      <c r="C2993" t="s">
        <v>52</v>
      </c>
      <c r="D2993" t="s">
        <v>63</v>
      </c>
    </row>
    <row r="2994" spans="1:6" x14ac:dyDescent="0.35">
      <c r="A2994" t="s">
        <v>96</v>
      </c>
      <c r="B2994" t="s">
        <v>18</v>
      </c>
    </row>
    <row r="2995" spans="1:6" x14ac:dyDescent="0.35">
      <c r="A2995" t="s">
        <v>56</v>
      </c>
      <c r="B2995" t="s">
        <v>57</v>
      </c>
      <c r="C2995" t="s">
        <v>104</v>
      </c>
    </row>
    <row r="2996" spans="1:6" x14ac:dyDescent="0.35">
      <c r="A2996" t="s">
        <v>18</v>
      </c>
      <c r="B2996" t="s">
        <v>160</v>
      </c>
    </row>
    <row r="2997" spans="1:6" x14ac:dyDescent="0.35">
      <c r="A2997" t="s">
        <v>4</v>
      </c>
    </row>
    <row r="2998" spans="1:6" x14ac:dyDescent="0.35">
      <c r="A2998" t="s">
        <v>12</v>
      </c>
    </row>
    <row r="2999" spans="1:6" x14ac:dyDescent="0.35">
      <c r="A2999" t="s">
        <v>12</v>
      </c>
    </row>
    <row r="3000" spans="1:6" x14ac:dyDescent="0.35">
      <c r="A3000" t="s">
        <v>66</v>
      </c>
      <c r="B3000" t="s">
        <v>67</v>
      </c>
      <c r="C3000" t="s">
        <v>68</v>
      </c>
    </row>
    <row r="3001" spans="1:6" x14ac:dyDescent="0.35">
      <c r="A3001" t="s">
        <v>155</v>
      </c>
      <c r="B3001" t="s">
        <v>156</v>
      </c>
      <c r="C3001" t="s">
        <v>157</v>
      </c>
    </row>
    <row r="3002" spans="1:6" x14ac:dyDescent="0.35">
      <c r="A3002" t="s">
        <v>64</v>
      </c>
      <c r="B3002" t="s">
        <v>65</v>
      </c>
      <c r="C3002" t="s">
        <v>66</v>
      </c>
      <c r="D3002" t="s">
        <v>18</v>
      </c>
      <c r="E3002" t="s">
        <v>67</v>
      </c>
      <c r="F3002" t="s">
        <v>68</v>
      </c>
    </row>
    <row r="3003" spans="1:6" x14ac:dyDescent="0.35">
      <c r="A3003" t="s">
        <v>126</v>
      </c>
      <c r="B3003" t="s">
        <v>127</v>
      </c>
    </row>
    <row r="3004" spans="1:6" x14ac:dyDescent="0.35">
      <c r="A3004" t="s">
        <v>23</v>
      </c>
    </row>
    <row r="3005" spans="1:6" x14ac:dyDescent="0.35">
      <c r="A3005" t="s">
        <v>64</v>
      </c>
      <c r="B3005" t="s">
        <v>66</v>
      </c>
      <c r="C3005" t="s">
        <v>18</v>
      </c>
      <c r="D3005" t="s">
        <v>67</v>
      </c>
      <c r="E3005" t="s">
        <v>68</v>
      </c>
    </row>
    <row r="3006" spans="1:6" x14ac:dyDescent="0.35">
      <c r="A3006" t="s">
        <v>7</v>
      </c>
    </row>
    <row r="3007" spans="1:6" x14ac:dyDescent="0.35">
      <c r="A3007" t="s">
        <v>96</v>
      </c>
      <c r="B3007" t="s">
        <v>66</v>
      </c>
      <c r="C3007" t="s">
        <v>18</v>
      </c>
      <c r="D3007" t="s">
        <v>67</v>
      </c>
      <c r="E3007" t="s">
        <v>68</v>
      </c>
    </row>
    <row r="3008" spans="1:6" x14ac:dyDescent="0.35">
      <c r="A3008" t="s">
        <v>12</v>
      </c>
    </row>
    <row r="3009" spans="1:9" x14ac:dyDescent="0.35">
      <c r="A3009" t="s">
        <v>7</v>
      </c>
    </row>
    <row r="3010" spans="1:9" x14ac:dyDescent="0.35">
      <c r="A3010" t="s">
        <v>18</v>
      </c>
    </row>
    <row r="3011" spans="1:9" x14ac:dyDescent="0.35">
      <c r="A3011" t="s">
        <v>138</v>
      </c>
      <c r="B3011" t="s">
        <v>139</v>
      </c>
      <c r="C3011" t="s">
        <v>140</v>
      </c>
      <c r="D3011" t="s">
        <v>141</v>
      </c>
      <c r="E3011" t="s">
        <v>142</v>
      </c>
      <c r="F3011" t="s">
        <v>124</v>
      </c>
      <c r="G3011" t="s">
        <v>143</v>
      </c>
      <c r="H3011" t="s">
        <v>144</v>
      </c>
      <c r="I3011" t="s">
        <v>145</v>
      </c>
    </row>
    <row r="3012" spans="1:9" x14ac:dyDescent="0.35">
      <c r="A3012" t="s">
        <v>1</v>
      </c>
    </row>
    <row r="3013" spans="1:9" x14ac:dyDescent="0.35">
      <c r="A3013" t="s">
        <v>50</v>
      </c>
      <c r="B3013" t="s">
        <v>51</v>
      </c>
      <c r="C3013" t="s">
        <v>52</v>
      </c>
      <c r="D3013" t="s">
        <v>85</v>
      </c>
    </row>
    <row r="3014" spans="1:9" x14ac:dyDescent="0.35">
      <c r="A3014" t="s">
        <v>8</v>
      </c>
    </row>
    <row r="3015" spans="1:9" x14ac:dyDescent="0.35">
      <c r="A3015" t="s">
        <v>15</v>
      </c>
    </row>
    <row r="3016" spans="1:9" x14ac:dyDescent="0.35">
      <c r="A3016" t="s">
        <v>50</v>
      </c>
      <c r="B3016" t="s">
        <v>70</v>
      </c>
      <c r="C3016" t="s">
        <v>51</v>
      </c>
      <c r="D3016" t="s">
        <v>52</v>
      </c>
      <c r="E3016" t="s">
        <v>63</v>
      </c>
      <c r="F3016" t="s">
        <v>71</v>
      </c>
    </row>
    <row r="3017" spans="1:9" x14ac:dyDescent="0.35">
      <c r="A3017" t="s">
        <v>23</v>
      </c>
    </row>
    <row r="3018" spans="1:9" x14ac:dyDescent="0.35">
      <c r="A3018" t="s">
        <v>50</v>
      </c>
      <c r="B3018" t="s">
        <v>51</v>
      </c>
      <c r="C3018" t="s">
        <v>82</v>
      </c>
      <c r="D3018" t="s">
        <v>52</v>
      </c>
      <c r="E3018" t="s">
        <v>77</v>
      </c>
      <c r="F3018" t="s">
        <v>83</v>
      </c>
      <c r="G3018" t="s">
        <v>84</v>
      </c>
    </row>
    <row r="3019" spans="1:9" x14ac:dyDescent="0.35">
      <c r="A3019" t="s">
        <v>1</v>
      </c>
      <c r="B3019" t="s">
        <v>87</v>
      </c>
    </row>
    <row r="3020" spans="1:9" x14ac:dyDescent="0.35">
      <c r="A3020" t="s">
        <v>96</v>
      </c>
      <c r="B3020" t="s">
        <v>18</v>
      </c>
    </row>
    <row r="3021" spans="1:9" x14ac:dyDescent="0.35">
      <c r="A3021" t="s">
        <v>39</v>
      </c>
    </row>
    <row r="3022" spans="1:9" x14ac:dyDescent="0.35">
      <c r="A3022" t="s">
        <v>7</v>
      </c>
    </row>
    <row r="3023" spans="1:9" x14ac:dyDescent="0.35">
      <c r="A3023" t="s">
        <v>7</v>
      </c>
    </row>
    <row r="3024" spans="1:9" x14ac:dyDescent="0.35">
      <c r="A3024" t="s">
        <v>1</v>
      </c>
    </row>
    <row r="3025" spans="1:7" x14ac:dyDescent="0.35">
      <c r="A3025" t="s">
        <v>7</v>
      </c>
    </row>
    <row r="3026" spans="1:7" x14ac:dyDescent="0.35">
      <c r="A3026" t="s">
        <v>8</v>
      </c>
    </row>
    <row r="3027" spans="1:7" x14ac:dyDescent="0.35">
      <c r="A3027" t="s">
        <v>18</v>
      </c>
      <c r="B3027" t="s">
        <v>160</v>
      </c>
    </row>
    <row r="3028" spans="1:7" x14ac:dyDescent="0.35">
      <c r="A3028" t="s">
        <v>1</v>
      </c>
      <c r="B3028" t="s">
        <v>87</v>
      </c>
      <c r="C3028" t="s">
        <v>131</v>
      </c>
    </row>
    <row r="3029" spans="1:7" x14ac:dyDescent="0.35">
      <c r="A3029" t="s">
        <v>2</v>
      </c>
    </row>
    <row r="3030" spans="1:7" x14ac:dyDescent="0.35">
      <c r="A3030" t="s">
        <v>10</v>
      </c>
    </row>
    <row r="3031" spans="1:7" x14ac:dyDescent="0.35">
      <c r="A3031" t="s">
        <v>115</v>
      </c>
      <c r="B3031" t="s">
        <v>11</v>
      </c>
    </row>
    <row r="3032" spans="1:7" x14ac:dyDescent="0.35">
      <c r="A3032" t="s">
        <v>18</v>
      </c>
      <c r="B3032" t="s">
        <v>160</v>
      </c>
    </row>
    <row r="3033" spans="1:7" x14ac:dyDescent="0.35">
      <c r="A3033" t="s">
        <v>100</v>
      </c>
      <c r="B3033" t="s">
        <v>101</v>
      </c>
      <c r="C3033" t="s">
        <v>102</v>
      </c>
    </row>
    <row r="3034" spans="1:7" x14ac:dyDescent="0.35">
      <c r="A3034" t="s">
        <v>12</v>
      </c>
    </row>
    <row r="3035" spans="1:7" x14ac:dyDescent="0.35">
      <c r="A3035" t="s">
        <v>81</v>
      </c>
      <c r="B3035" t="s">
        <v>11</v>
      </c>
    </row>
    <row r="3036" spans="1:7" x14ac:dyDescent="0.35">
      <c r="A3036" t="s">
        <v>12</v>
      </c>
    </row>
    <row r="3037" spans="1:7" x14ac:dyDescent="0.35">
      <c r="A3037" t="s">
        <v>138</v>
      </c>
      <c r="B3037" t="s">
        <v>240</v>
      </c>
      <c r="C3037" t="s">
        <v>139</v>
      </c>
      <c r="D3037" t="s">
        <v>140</v>
      </c>
      <c r="E3037" t="s">
        <v>141</v>
      </c>
      <c r="F3037" t="s">
        <v>142</v>
      </c>
      <c r="G3037" t="s">
        <v>124</v>
      </c>
    </row>
    <row r="3038" spans="1:7" x14ac:dyDescent="0.35">
      <c r="A3038" t="s">
        <v>17</v>
      </c>
    </row>
    <row r="3039" spans="1:7" x14ac:dyDescent="0.35">
      <c r="A3039" t="s">
        <v>1</v>
      </c>
      <c r="B3039" t="s">
        <v>87</v>
      </c>
      <c r="C3039" t="s">
        <v>128</v>
      </c>
    </row>
    <row r="3040" spans="1:7" x14ac:dyDescent="0.35">
      <c r="A3040" t="s">
        <v>1</v>
      </c>
      <c r="B3040" t="s">
        <v>87</v>
      </c>
      <c r="C3040" t="s">
        <v>170</v>
      </c>
    </row>
    <row r="3041" spans="1:6" x14ac:dyDescent="0.35">
      <c r="A3041" t="s">
        <v>64</v>
      </c>
      <c r="B3041" t="s">
        <v>65</v>
      </c>
      <c r="C3041" t="s">
        <v>66</v>
      </c>
      <c r="D3041" t="s">
        <v>18</v>
      </c>
      <c r="E3041" t="s">
        <v>67</v>
      </c>
      <c r="F3041" t="s">
        <v>68</v>
      </c>
    </row>
    <row r="3042" spans="1:6" x14ac:dyDescent="0.35">
      <c r="A3042" t="s">
        <v>4</v>
      </c>
    </row>
    <row r="3043" spans="1:6" x14ac:dyDescent="0.35">
      <c r="A3043" t="s">
        <v>7</v>
      </c>
    </row>
    <row r="3044" spans="1:6" x14ac:dyDescent="0.35">
      <c r="A3044" t="s">
        <v>96</v>
      </c>
      <c r="B3044" t="s">
        <v>18</v>
      </c>
    </row>
    <row r="3045" spans="1:6" x14ac:dyDescent="0.35">
      <c r="A3045" t="s">
        <v>31</v>
      </c>
    </row>
    <row r="3046" spans="1:6" x14ac:dyDescent="0.35">
      <c r="A3046" t="s">
        <v>18</v>
      </c>
    </row>
    <row r="3047" spans="1:6" x14ac:dyDescent="0.35">
      <c r="A3047" t="s">
        <v>10</v>
      </c>
    </row>
    <row r="3048" spans="1:6" x14ac:dyDescent="0.35">
      <c r="A3048" t="s">
        <v>56</v>
      </c>
      <c r="B3048" t="s">
        <v>57</v>
      </c>
    </row>
    <row r="3049" spans="1:6" x14ac:dyDescent="0.35">
      <c r="A3049" t="s">
        <v>183</v>
      </c>
      <c r="B3049" t="s">
        <v>184</v>
      </c>
      <c r="C3049" t="s">
        <v>185</v>
      </c>
      <c r="D3049" t="s">
        <v>66</v>
      </c>
      <c r="E3049" t="s">
        <v>18</v>
      </c>
      <c r="F3049" t="s">
        <v>67</v>
      </c>
    </row>
    <row r="3050" spans="1:6" x14ac:dyDescent="0.35">
      <c r="A3050" t="s">
        <v>1</v>
      </c>
      <c r="B3050" t="s">
        <v>87</v>
      </c>
      <c r="C3050" t="s">
        <v>133</v>
      </c>
    </row>
    <row r="3051" spans="1:6" x14ac:dyDescent="0.35">
      <c r="A3051" t="s">
        <v>18</v>
      </c>
      <c r="B3051" t="s">
        <v>130</v>
      </c>
    </row>
    <row r="3052" spans="1:6" x14ac:dyDescent="0.35">
      <c r="A3052" t="s">
        <v>7</v>
      </c>
    </row>
    <row r="3053" spans="1:6" x14ac:dyDescent="0.35">
      <c r="A3053" t="s">
        <v>1</v>
      </c>
    </row>
    <row r="3054" spans="1:6" x14ac:dyDescent="0.35">
      <c r="A3054" t="s">
        <v>8</v>
      </c>
    </row>
    <row r="3055" spans="1:6" x14ac:dyDescent="0.35">
      <c r="A3055" t="s">
        <v>12</v>
      </c>
    </row>
    <row r="3056" spans="1:6" x14ac:dyDescent="0.35">
      <c r="A3056" t="s">
        <v>167</v>
      </c>
      <c r="B3056" t="s">
        <v>241</v>
      </c>
      <c r="C3056" t="s">
        <v>168</v>
      </c>
      <c r="D3056" t="s">
        <v>169</v>
      </c>
    </row>
    <row r="3057" spans="1:9" x14ac:dyDescent="0.35">
      <c r="A3057" t="s">
        <v>138</v>
      </c>
      <c r="B3057" t="s">
        <v>139</v>
      </c>
      <c r="C3057" t="s">
        <v>140</v>
      </c>
      <c r="D3057" t="s">
        <v>141</v>
      </c>
      <c r="E3057" t="s">
        <v>142</v>
      </c>
      <c r="F3057" t="s">
        <v>124</v>
      </c>
      <c r="G3057" t="s">
        <v>143</v>
      </c>
      <c r="H3057" t="s">
        <v>224</v>
      </c>
      <c r="I3057" t="s">
        <v>145</v>
      </c>
    </row>
    <row r="3058" spans="1:9" x14ac:dyDescent="0.35">
      <c r="A3058" t="s">
        <v>138</v>
      </c>
      <c r="B3058" t="s">
        <v>240</v>
      </c>
      <c r="C3058" t="s">
        <v>139</v>
      </c>
      <c r="D3058" t="s">
        <v>140</v>
      </c>
      <c r="E3058" t="s">
        <v>141</v>
      </c>
      <c r="F3058" t="s">
        <v>142</v>
      </c>
      <c r="G3058" t="s">
        <v>124</v>
      </c>
    </row>
    <row r="3059" spans="1:9" x14ac:dyDescent="0.35">
      <c r="A3059" t="s">
        <v>222</v>
      </c>
      <c r="B3059" t="s">
        <v>1</v>
      </c>
      <c r="C3059" t="s">
        <v>87</v>
      </c>
    </row>
    <row r="3060" spans="1:9" x14ac:dyDescent="0.35">
      <c r="A3060" t="s">
        <v>17</v>
      </c>
    </row>
    <row r="3061" spans="1:9" x14ac:dyDescent="0.35">
      <c r="A3061" t="s">
        <v>7</v>
      </c>
    </row>
    <row r="3062" spans="1:9" x14ac:dyDescent="0.35">
      <c r="A3062" t="s">
        <v>5</v>
      </c>
    </row>
    <row r="3063" spans="1:9" x14ac:dyDescent="0.35">
      <c r="A3063" t="s">
        <v>100</v>
      </c>
      <c r="B3063" t="s">
        <v>101</v>
      </c>
      <c r="C3063" t="s">
        <v>102</v>
      </c>
    </row>
    <row r="3064" spans="1:9" x14ac:dyDescent="0.35">
      <c r="A3064" t="s">
        <v>3</v>
      </c>
      <c r="B3064" t="s">
        <v>117</v>
      </c>
    </row>
    <row r="3065" spans="1:9" x14ac:dyDescent="0.35">
      <c r="A3065" t="s">
        <v>50</v>
      </c>
      <c r="B3065" t="s">
        <v>51</v>
      </c>
      <c r="C3065" t="s">
        <v>52</v>
      </c>
      <c r="D3065" t="s">
        <v>74</v>
      </c>
      <c r="E3065" t="s">
        <v>75</v>
      </c>
    </row>
    <row r="3066" spans="1:9" x14ac:dyDescent="0.35">
      <c r="A3066" t="s">
        <v>56</v>
      </c>
      <c r="B3066" t="s">
        <v>57</v>
      </c>
    </row>
    <row r="3067" spans="1:9" x14ac:dyDescent="0.35">
      <c r="A3067" t="s">
        <v>64</v>
      </c>
      <c r="B3067" t="s">
        <v>65</v>
      </c>
      <c r="C3067" t="s">
        <v>66</v>
      </c>
      <c r="D3067" t="s">
        <v>18</v>
      </c>
      <c r="E3067" t="s">
        <v>67</v>
      </c>
      <c r="F3067" t="s">
        <v>68</v>
      </c>
    </row>
    <row r="3068" spans="1:9" x14ac:dyDescent="0.35">
      <c r="A3068" t="s">
        <v>123</v>
      </c>
      <c r="B3068" t="s">
        <v>124</v>
      </c>
      <c r="C3068" t="s">
        <v>125</v>
      </c>
    </row>
    <row r="3069" spans="1:9" x14ac:dyDescent="0.35">
      <c r="A3069" t="s">
        <v>7</v>
      </c>
    </row>
    <row r="3070" spans="1:9" x14ac:dyDescent="0.35">
      <c r="A3070" t="s">
        <v>96</v>
      </c>
      <c r="B3070" t="s">
        <v>18</v>
      </c>
    </row>
    <row r="3071" spans="1:9" x14ac:dyDescent="0.35">
      <c r="A3071" t="s">
        <v>50</v>
      </c>
      <c r="B3071" t="s">
        <v>51</v>
      </c>
      <c r="C3071" t="s">
        <v>52</v>
      </c>
      <c r="D3071" t="s">
        <v>85</v>
      </c>
    </row>
    <row r="3072" spans="1:9" x14ac:dyDescent="0.35">
      <c r="A3072" t="s">
        <v>1</v>
      </c>
    </row>
    <row r="3073" spans="1:6" x14ac:dyDescent="0.35">
      <c r="A3073" t="s">
        <v>108</v>
      </c>
      <c r="B3073" t="s">
        <v>11</v>
      </c>
    </row>
    <row r="3074" spans="1:6" x14ac:dyDescent="0.35">
      <c r="A3074" t="s">
        <v>64</v>
      </c>
      <c r="B3074" t="s">
        <v>66</v>
      </c>
      <c r="C3074" t="s">
        <v>18</v>
      </c>
      <c r="D3074" t="s">
        <v>67</v>
      </c>
      <c r="E3074" t="s">
        <v>68</v>
      </c>
    </row>
    <row r="3075" spans="1:6" x14ac:dyDescent="0.35">
      <c r="A3075" t="s">
        <v>12</v>
      </c>
    </row>
    <row r="3076" spans="1:6" x14ac:dyDescent="0.35">
      <c r="A3076" t="s">
        <v>17</v>
      </c>
    </row>
    <row r="3077" spans="1:6" x14ac:dyDescent="0.35">
      <c r="A3077" t="s">
        <v>7</v>
      </c>
    </row>
    <row r="3078" spans="1:6" x14ac:dyDescent="0.35">
      <c r="A3078" t="s">
        <v>8</v>
      </c>
    </row>
    <row r="3079" spans="1:6" x14ac:dyDescent="0.35">
      <c r="A3079" t="s">
        <v>50</v>
      </c>
      <c r="B3079" t="s">
        <v>51</v>
      </c>
      <c r="C3079" t="s">
        <v>52</v>
      </c>
    </row>
    <row r="3080" spans="1:6" x14ac:dyDescent="0.35">
      <c r="A3080" t="s">
        <v>64</v>
      </c>
      <c r="B3080" t="s">
        <v>65</v>
      </c>
      <c r="C3080" t="s">
        <v>66</v>
      </c>
      <c r="D3080" t="s">
        <v>18</v>
      </c>
      <c r="E3080" t="s">
        <v>67</v>
      </c>
      <c r="F3080" t="s">
        <v>68</v>
      </c>
    </row>
    <row r="3081" spans="1:6" x14ac:dyDescent="0.35">
      <c r="A3081" t="s">
        <v>81</v>
      </c>
      <c r="B3081" t="s">
        <v>11</v>
      </c>
    </row>
    <row r="3082" spans="1:6" x14ac:dyDescent="0.35">
      <c r="A3082" t="s">
        <v>64</v>
      </c>
      <c r="B3082" t="s">
        <v>66</v>
      </c>
      <c r="C3082" t="s">
        <v>18</v>
      </c>
      <c r="D3082" t="s">
        <v>67</v>
      </c>
      <c r="E3082" t="s">
        <v>68</v>
      </c>
    </row>
    <row r="3083" spans="1:6" x14ac:dyDescent="0.35">
      <c r="A3083" t="s">
        <v>7</v>
      </c>
    </row>
    <row r="3084" spans="1:6" x14ac:dyDescent="0.35">
      <c r="A3084" t="s">
        <v>96</v>
      </c>
      <c r="B3084" t="s">
        <v>18</v>
      </c>
    </row>
    <row r="3085" spans="1:6" x14ac:dyDescent="0.35">
      <c r="A3085" t="s">
        <v>121</v>
      </c>
      <c r="B3085" t="s">
        <v>242</v>
      </c>
    </row>
    <row r="3086" spans="1:6" x14ac:dyDescent="0.35">
      <c r="A3086" t="s">
        <v>100</v>
      </c>
      <c r="B3086" t="s">
        <v>101</v>
      </c>
      <c r="C3086" t="s">
        <v>102</v>
      </c>
    </row>
    <row r="3087" spans="1:6" x14ac:dyDescent="0.35">
      <c r="A3087" t="s">
        <v>8</v>
      </c>
    </row>
    <row r="3088" spans="1:6" x14ac:dyDescent="0.35">
      <c r="A3088" t="s">
        <v>50</v>
      </c>
      <c r="B3088" t="s">
        <v>51</v>
      </c>
      <c r="C3088" t="s">
        <v>52</v>
      </c>
    </row>
    <row r="3089" spans="1:5" x14ac:dyDescent="0.35">
      <c r="A3089" t="s">
        <v>1</v>
      </c>
    </row>
    <row r="3090" spans="1:5" x14ac:dyDescent="0.35">
      <c r="A3090" t="s">
        <v>96</v>
      </c>
      <c r="B3090" t="s">
        <v>18</v>
      </c>
    </row>
    <row r="3091" spans="1:5" x14ac:dyDescent="0.35">
      <c r="A3091" t="s">
        <v>7</v>
      </c>
    </row>
    <row r="3092" spans="1:5" x14ac:dyDescent="0.35">
      <c r="A3092" t="s">
        <v>1</v>
      </c>
    </row>
    <row r="3093" spans="1:5" x14ac:dyDescent="0.35">
      <c r="A3093" t="s">
        <v>50</v>
      </c>
      <c r="B3093" t="s">
        <v>51</v>
      </c>
      <c r="C3093" t="s">
        <v>52</v>
      </c>
      <c r="D3093" t="s">
        <v>92</v>
      </c>
    </row>
    <row r="3094" spans="1:5" x14ac:dyDescent="0.35">
      <c r="A3094" t="s">
        <v>8</v>
      </c>
    </row>
    <row r="3095" spans="1:5" x14ac:dyDescent="0.35">
      <c r="A3095" t="s">
        <v>148</v>
      </c>
      <c r="B3095" t="s">
        <v>18</v>
      </c>
    </row>
    <row r="3096" spans="1:5" x14ac:dyDescent="0.35">
      <c r="A3096" t="s">
        <v>1</v>
      </c>
    </row>
    <row r="3097" spans="1:5" x14ac:dyDescent="0.35">
      <c r="A3097" t="s">
        <v>50</v>
      </c>
      <c r="B3097" t="s">
        <v>51</v>
      </c>
      <c r="C3097" t="s">
        <v>52</v>
      </c>
      <c r="D3097" t="s">
        <v>77</v>
      </c>
      <c r="E3097" t="s">
        <v>116</v>
      </c>
    </row>
    <row r="3098" spans="1:5" x14ac:dyDescent="0.35">
      <c r="A3098" t="s">
        <v>1</v>
      </c>
    </row>
    <row r="3099" spans="1:5" x14ac:dyDescent="0.35">
      <c r="A3099" t="s">
        <v>11</v>
      </c>
    </row>
    <row r="3100" spans="1:5" x14ac:dyDescent="0.35">
      <c r="A3100" t="s">
        <v>5</v>
      </c>
    </row>
    <row r="3101" spans="1:5" x14ac:dyDescent="0.35">
      <c r="A3101" t="s">
        <v>7</v>
      </c>
    </row>
    <row r="3102" spans="1:5" x14ac:dyDescent="0.35">
      <c r="A3102" t="s">
        <v>96</v>
      </c>
      <c r="B3102" t="s">
        <v>18</v>
      </c>
    </row>
    <row r="3103" spans="1:5" x14ac:dyDescent="0.35">
      <c r="A3103" t="s">
        <v>1</v>
      </c>
    </row>
    <row r="3104" spans="1:5" x14ac:dyDescent="0.35">
      <c r="A3104" t="s">
        <v>64</v>
      </c>
      <c r="B3104" t="s">
        <v>66</v>
      </c>
      <c r="C3104" t="s">
        <v>18</v>
      </c>
      <c r="D3104" t="s">
        <v>67</v>
      </c>
      <c r="E3104" t="s">
        <v>68</v>
      </c>
    </row>
    <row r="3105" spans="1:7" x14ac:dyDescent="0.35">
      <c r="A3105" t="s">
        <v>3</v>
      </c>
    </row>
    <row r="3106" spans="1:7" x14ac:dyDescent="0.35">
      <c r="A3106" t="s">
        <v>10</v>
      </c>
    </row>
    <row r="3107" spans="1:7" x14ac:dyDescent="0.35">
      <c r="A3107" t="s">
        <v>1</v>
      </c>
    </row>
    <row r="3108" spans="1:7" x14ac:dyDescent="0.35">
      <c r="A3108" t="s">
        <v>15</v>
      </c>
    </row>
    <row r="3109" spans="1:7" x14ac:dyDescent="0.35">
      <c r="A3109" t="s">
        <v>93</v>
      </c>
      <c r="B3109" t="s">
        <v>50</v>
      </c>
      <c r="C3109" t="s">
        <v>51</v>
      </c>
      <c r="D3109" t="s">
        <v>52</v>
      </c>
    </row>
    <row r="3110" spans="1:7" x14ac:dyDescent="0.35">
      <c r="A3110" t="s">
        <v>50</v>
      </c>
      <c r="B3110" t="s">
        <v>51</v>
      </c>
      <c r="C3110" t="s">
        <v>52</v>
      </c>
      <c r="D3110" t="s">
        <v>63</v>
      </c>
    </row>
    <row r="3111" spans="1:7" x14ac:dyDescent="0.35">
      <c r="A3111" t="s">
        <v>93</v>
      </c>
      <c r="B3111" t="s">
        <v>50</v>
      </c>
      <c r="C3111" t="s">
        <v>51</v>
      </c>
      <c r="D3111" t="s">
        <v>52</v>
      </c>
      <c r="E3111" t="s">
        <v>94</v>
      </c>
      <c r="F3111" t="s">
        <v>77</v>
      </c>
      <c r="G3111" t="s">
        <v>95</v>
      </c>
    </row>
    <row r="3112" spans="1:7" x14ac:dyDescent="0.35">
      <c r="A3112" t="s">
        <v>12</v>
      </c>
    </row>
    <row r="3113" spans="1:7" x14ac:dyDescent="0.35">
      <c r="A3113" t="s">
        <v>37</v>
      </c>
    </row>
    <row r="3114" spans="1:7" x14ac:dyDescent="0.35">
      <c r="A3114" t="s">
        <v>100</v>
      </c>
      <c r="B3114" t="s">
        <v>101</v>
      </c>
      <c r="C3114" t="s">
        <v>102</v>
      </c>
    </row>
    <row r="3115" spans="1:7" x14ac:dyDescent="0.35">
      <c r="A3115" t="s">
        <v>100</v>
      </c>
      <c r="B3115" t="s">
        <v>101</v>
      </c>
      <c r="C3115" t="s">
        <v>102</v>
      </c>
    </row>
    <row r="3116" spans="1:7" x14ac:dyDescent="0.35">
      <c r="A3116" t="s">
        <v>31</v>
      </c>
    </row>
    <row r="3117" spans="1:7" x14ac:dyDescent="0.35">
      <c r="A3117" t="s">
        <v>7</v>
      </c>
    </row>
    <row r="3118" spans="1:7" x14ac:dyDescent="0.35">
      <c r="A3118" t="s">
        <v>1</v>
      </c>
      <c r="B3118" t="s">
        <v>87</v>
      </c>
      <c r="C3118" t="s">
        <v>131</v>
      </c>
    </row>
    <row r="3119" spans="1:7" x14ac:dyDescent="0.35">
      <c r="A3119" t="s">
        <v>3</v>
      </c>
    </row>
    <row r="3120" spans="1:7" x14ac:dyDescent="0.35">
      <c r="A3120" t="s">
        <v>138</v>
      </c>
      <c r="B3120" t="s">
        <v>227</v>
      </c>
      <c r="C3120" t="s">
        <v>139</v>
      </c>
      <c r="D3120" t="s">
        <v>140</v>
      </c>
      <c r="E3120" t="s">
        <v>141</v>
      </c>
      <c r="F3120" t="s">
        <v>142</v>
      </c>
      <c r="G3120" t="s">
        <v>124</v>
      </c>
    </row>
    <row r="3121" spans="1:4" x14ac:dyDescent="0.35">
      <c r="A3121" t="s">
        <v>96</v>
      </c>
      <c r="B3121" t="s">
        <v>18</v>
      </c>
    </row>
    <row r="3122" spans="1:4" x14ac:dyDescent="0.35">
      <c r="A3122" t="s">
        <v>195</v>
      </c>
      <c r="B3122" t="s">
        <v>1</v>
      </c>
    </row>
    <row r="3123" spans="1:4" x14ac:dyDescent="0.35">
      <c r="A3123" t="s">
        <v>27</v>
      </c>
    </row>
    <row r="3124" spans="1:4" x14ac:dyDescent="0.35">
      <c r="A3124" t="s">
        <v>18</v>
      </c>
      <c r="B3124" t="s">
        <v>225</v>
      </c>
    </row>
    <row r="3125" spans="1:4" x14ac:dyDescent="0.35">
      <c r="A3125" t="s">
        <v>126</v>
      </c>
      <c r="B3125" t="s">
        <v>127</v>
      </c>
    </row>
    <row r="3126" spans="1:4" x14ac:dyDescent="0.35">
      <c r="A3126" t="s">
        <v>7</v>
      </c>
    </row>
    <row r="3127" spans="1:4" x14ac:dyDescent="0.35">
      <c r="A3127" t="s">
        <v>5</v>
      </c>
    </row>
    <row r="3128" spans="1:4" x14ac:dyDescent="0.35">
      <c r="A3128" t="s">
        <v>11</v>
      </c>
    </row>
    <row r="3129" spans="1:4" x14ac:dyDescent="0.35">
      <c r="A3129" t="s">
        <v>64</v>
      </c>
      <c r="B3129" t="s">
        <v>65</v>
      </c>
      <c r="C3129" t="s">
        <v>91</v>
      </c>
      <c r="D3129" t="s">
        <v>18</v>
      </c>
    </row>
    <row r="3130" spans="1:4" x14ac:dyDescent="0.35">
      <c r="A3130" t="s">
        <v>15</v>
      </c>
    </row>
    <row r="3131" spans="1:4" x14ac:dyDescent="0.35">
      <c r="A3131" t="s">
        <v>50</v>
      </c>
      <c r="B3131" t="s">
        <v>51</v>
      </c>
      <c r="C3131" t="s">
        <v>52</v>
      </c>
      <c r="D3131" t="s">
        <v>63</v>
      </c>
    </row>
    <row r="3132" spans="1:4" x14ac:dyDescent="0.35">
      <c r="A3132" t="s">
        <v>105</v>
      </c>
      <c r="B3132" t="s">
        <v>137</v>
      </c>
      <c r="C3132" t="s">
        <v>11</v>
      </c>
    </row>
    <row r="3133" spans="1:4" x14ac:dyDescent="0.35">
      <c r="A3133" t="s">
        <v>24</v>
      </c>
    </row>
    <row r="3134" spans="1:4" x14ac:dyDescent="0.35">
      <c r="A3134" t="s">
        <v>18</v>
      </c>
      <c r="B3134" t="s">
        <v>160</v>
      </c>
    </row>
    <row r="3135" spans="1:4" x14ac:dyDescent="0.35">
      <c r="A3135" t="s">
        <v>7</v>
      </c>
    </row>
    <row r="3136" spans="1:4" x14ac:dyDescent="0.35">
      <c r="A3136" t="s">
        <v>10</v>
      </c>
    </row>
    <row r="3137" spans="1:6" x14ac:dyDescent="0.35">
      <c r="A3137" t="s">
        <v>105</v>
      </c>
      <c r="B3137" t="s">
        <v>137</v>
      </c>
      <c r="C3137" t="s">
        <v>11</v>
      </c>
    </row>
    <row r="3138" spans="1:6" x14ac:dyDescent="0.35">
      <c r="A3138" t="s">
        <v>174</v>
      </c>
      <c r="B3138" t="s">
        <v>151</v>
      </c>
      <c r="C3138" t="s">
        <v>152</v>
      </c>
      <c r="D3138" t="s">
        <v>153</v>
      </c>
    </row>
    <row r="3139" spans="1:6" x14ac:dyDescent="0.35">
      <c r="A3139" t="s">
        <v>11</v>
      </c>
    </row>
    <row r="3140" spans="1:6" x14ac:dyDescent="0.35">
      <c r="A3140" t="s">
        <v>64</v>
      </c>
      <c r="B3140" t="s">
        <v>65</v>
      </c>
      <c r="C3140" t="s">
        <v>66</v>
      </c>
      <c r="D3140" t="s">
        <v>18</v>
      </c>
      <c r="E3140" t="s">
        <v>67</v>
      </c>
      <c r="F3140" t="s">
        <v>68</v>
      </c>
    </row>
    <row r="3141" spans="1:6" x14ac:dyDescent="0.35">
      <c r="A3141" t="s">
        <v>22</v>
      </c>
    </row>
    <row r="3142" spans="1:6" x14ac:dyDescent="0.35">
      <c r="A3142" t="s">
        <v>7</v>
      </c>
    </row>
    <row r="3143" spans="1:6" x14ac:dyDescent="0.35">
      <c r="A3143" t="s">
        <v>148</v>
      </c>
      <c r="B3143" t="s">
        <v>18</v>
      </c>
    </row>
    <row r="3144" spans="1:6" x14ac:dyDescent="0.35">
      <c r="A3144" t="s">
        <v>1</v>
      </c>
      <c r="B3144" t="s">
        <v>87</v>
      </c>
    </row>
    <row r="3145" spans="1:6" x14ac:dyDescent="0.35">
      <c r="A3145" t="s">
        <v>10</v>
      </c>
    </row>
    <row r="3146" spans="1:6" x14ac:dyDescent="0.35">
      <c r="A3146" t="s">
        <v>3</v>
      </c>
    </row>
    <row r="3147" spans="1:6" x14ac:dyDescent="0.35">
      <c r="A3147" t="s">
        <v>1</v>
      </c>
      <c r="B3147" t="s">
        <v>87</v>
      </c>
      <c r="C3147" t="s">
        <v>133</v>
      </c>
    </row>
    <row r="3148" spans="1:6" x14ac:dyDescent="0.35">
      <c r="A3148" t="s">
        <v>18</v>
      </c>
    </row>
    <row r="3149" spans="1:6" x14ac:dyDescent="0.35">
      <c r="A3149" t="s">
        <v>64</v>
      </c>
      <c r="B3149" t="s">
        <v>65</v>
      </c>
      <c r="C3149" t="s">
        <v>66</v>
      </c>
      <c r="D3149" t="s">
        <v>18</v>
      </c>
      <c r="E3149" t="s">
        <v>67</v>
      </c>
      <c r="F3149" t="s">
        <v>68</v>
      </c>
    </row>
    <row r="3150" spans="1:6" x14ac:dyDescent="0.35">
      <c r="A3150" t="s">
        <v>96</v>
      </c>
      <c r="B3150" t="s">
        <v>18</v>
      </c>
    </row>
    <row r="3151" spans="1:6" x14ac:dyDescent="0.35">
      <c r="A3151" t="s">
        <v>5</v>
      </c>
    </row>
    <row r="3152" spans="1:6" x14ac:dyDescent="0.35">
      <c r="A3152" t="s">
        <v>4</v>
      </c>
    </row>
    <row r="3153" spans="1:7" x14ac:dyDescent="0.35">
      <c r="A3153" t="s">
        <v>56</v>
      </c>
      <c r="B3153" t="s">
        <v>57</v>
      </c>
    </row>
    <row r="3154" spans="1:7" x14ac:dyDescent="0.35">
      <c r="A3154" t="s">
        <v>7</v>
      </c>
    </row>
    <row r="3155" spans="1:7" x14ac:dyDescent="0.35">
      <c r="A3155" t="s">
        <v>12</v>
      </c>
      <c r="B3155" t="s">
        <v>177</v>
      </c>
    </row>
    <row r="3156" spans="1:7" x14ac:dyDescent="0.35">
      <c r="A3156" t="s">
        <v>56</v>
      </c>
      <c r="B3156" t="s">
        <v>57</v>
      </c>
      <c r="C3156" t="s">
        <v>99</v>
      </c>
    </row>
    <row r="3157" spans="1:7" x14ac:dyDescent="0.35">
      <c r="A3157" t="s">
        <v>12</v>
      </c>
    </row>
    <row r="3158" spans="1:7" x14ac:dyDescent="0.35">
      <c r="A3158" t="s">
        <v>12</v>
      </c>
    </row>
    <row r="3159" spans="1:7" x14ac:dyDescent="0.35">
      <c r="A3159" t="s">
        <v>50</v>
      </c>
      <c r="B3159" t="s">
        <v>51</v>
      </c>
      <c r="C3159" t="s">
        <v>82</v>
      </c>
      <c r="D3159" t="s">
        <v>52</v>
      </c>
      <c r="E3159" t="s">
        <v>77</v>
      </c>
      <c r="F3159" t="s">
        <v>83</v>
      </c>
      <c r="G3159" t="s">
        <v>84</v>
      </c>
    </row>
    <row r="3160" spans="1:7" x14ac:dyDescent="0.35">
      <c r="A3160" t="s">
        <v>155</v>
      </c>
      <c r="B3160" t="s">
        <v>156</v>
      </c>
      <c r="C3160" t="s">
        <v>157</v>
      </c>
    </row>
    <row r="3161" spans="1:7" x14ac:dyDescent="0.35">
      <c r="A3161" t="s">
        <v>123</v>
      </c>
      <c r="B3161" t="s">
        <v>124</v>
      </c>
      <c r="C3161" t="s">
        <v>125</v>
      </c>
    </row>
    <row r="3162" spans="1:7" x14ac:dyDescent="0.35">
      <c r="A3162" t="s">
        <v>18</v>
      </c>
      <c r="B3162" t="s">
        <v>160</v>
      </c>
    </row>
    <row r="3163" spans="1:7" x14ac:dyDescent="0.35">
      <c r="A3163" t="s">
        <v>37</v>
      </c>
    </row>
    <row r="3164" spans="1:7" x14ac:dyDescent="0.35">
      <c r="A3164" t="s">
        <v>93</v>
      </c>
      <c r="B3164" t="s">
        <v>50</v>
      </c>
      <c r="C3164" t="s">
        <v>51</v>
      </c>
      <c r="D3164" t="s">
        <v>52</v>
      </c>
      <c r="E3164" t="s">
        <v>94</v>
      </c>
      <c r="F3164" t="s">
        <v>77</v>
      </c>
      <c r="G3164" t="s">
        <v>95</v>
      </c>
    </row>
    <row r="3165" spans="1:7" x14ac:dyDescent="0.35">
      <c r="A3165" t="s">
        <v>50</v>
      </c>
      <c r="B3165" t="s">
        <v>51</v>
      </c>
      <c r="C3165" t="s">
        <v>52</v>
      </c>
    </row>
    <row r="3166" spans="1:7" x14ac:dyDescent="0.35">
      <c r="A3166" t="s">
        <v>5</v>
      </c>
    </row>
    <row r="3167" spans="1:7" x14ac:dyDescent="0.35">
      <c r="A3167" t="s">
        <v>2</v>
      </c>
    </row>
    <row r="3168" spans="1:7" x14ac:dyDescent="0.35">
      <c r="A3168" t="s">
        <v>64</v>
      </c>
      <c r="B3168" t="s">
        <v>65</v>
      </c>
      <c r="C3168" t="s">
        <v>66</v>
      </c>
      <c r="D3168" t="s">
        <v>18</v>
      </c>
      <c r="E3168" t="s">
        <v>67</v>
      </c>
      <c r="F3168" t="s">
        <v>68</v>
      </c>
    </row>
    <row r="3169" spans="1:7" x14ac:dyDescent="0.35">
      <c r="A3169" t="s">
        <v>17</v>
      </c>
    </row>
    <row r="3170" spans="1:7" x14ac:dyDescent="0.35">
      <c r="A3170" t="s">
        <v>162</v>
      </c>
      <c r="B3170" t="s">
        <v>243</v>
      </c>
      <c r="C3170" t="s">
        <v>164</v>
      </c>
      <c r="D3170" t="s">
        <v>124</v>
      </c>
    </row>
    <row r="3171" spans="1:7" x14ac:dyDescent="0.35">
      <c r="A3171" t="s">
        <v>64</v>
      </c>
      <c r="B3171" t="s">
        <v>18</v>
      </c>
    </row>
    <row r="3172" spans="1:7" x14ac:dyDescent="0.35">
      <c r="A3172" t="s">
        <v>56</v>
      </c>
      <c r="B3172" t="s">
        <v>57</v>
      </c>
      <c r="C3172" t="s">
        <v>171</v>
      </c>
      <c r="D3172" t="s">
        <v>172</v>
      </c>
      <c r="E3172" t="s">
        <v>173</v>
      </c>
    </row>
    <row r="3173" spans="1:7" x14ac:dyDescent="0.35">
      <c r="A3173" t="s">
        <v>7</v>
      </c>
    </row>
    <row r="3174" spans="1:7" x14ac:dyDescent="0.35">
      <c r="A3174" t="s">
        <v>32</v>
      </c>
    </row>
    <row r="3175" spans="1:7" x14ac:dyDescent="0.35">
      <c r="A3175" t="s">
        <v>17</v>
      </c>
    </row>
    <row r="3176" spans="1:7" x14ac:dyDescent="0.35">
      <c r="A3176" t="s">
        <v>39</v>
      </c>
    </row>
    <row r="3177" spans="1:7" x14ac:dyDescent="0.35">
      <c r="A3177" t="s">
        <v>64</v>
      </c>
      <c r="B3177" t="s">
        <v>65</v>
      </c>
      <c r="C3177" t="s">
        <v>66</v>
      </c>
      <c r="D3177" t="s">
        <v>18</v>
      </c>
      <c r="E3177" t="s">
        <v>129</v>
      </c>
      <c r="F3177" t="s">
        <v>67</v>
      </c>
      <c r="G3177" t="s">
        <v>68</v>
      </c>
    </row>
    <row r="3178" spans="1:7" x14ac:dyDescent="0.35">
      <c r="A3178" t="s">
        <v>18</v>
      </c>
      <c r="B3178" t="s">
        <v>130</v>
      </c>
    </row>
    <row r="3179" spans="1:7" x14ac:dyDescent="0.35">
      <c r="A3179" t="s">
        <v>1</v>
      </c>
    </row>
    <row r="3180" spans="1:7" x14ac:dyDescent="0.35">
      <c r="A3180" t="s">
        <v>7</v>
      </c>
    </row>
    <row r="3181" spans="1:7" x14ac:dyDescent="0.35">
      <c r="A3181" t="s">
        <v>56</v>
      </c>
      <c r="B3181" t="s">
        <v>57</v>
      </c>
      <c r="C3181" t="s">
        <v>171</v>
      </c>
      <c r="D3181" t="s">
        <v>172</v>
      </c>
      <c r="E3181" t="s">
        <v>173</v>
      </c>
    </row>
    <row r="3182" spans="1:7" x14ac:dyDescent="0.35">
      <c r="A3182" t="s">
        <v>81</v>
      </c>
      <c r="B3182" t="s">
        <v>11</v>
      </c>
    </row>
    <row r="3183" spans="1:7" x14ac:dyDescent="0.35">
      <c r="A3183" t="s">
        <v>7</v>
      </c>
    </row>
    <row r="3184" spans="1:7" x14ac:dyDescent="0.35">
      <c r="A3184" t="s">
        <v>100</v>
      </c>
      <c r="B3184" t="s">
        <v>102</v>
      </c>
    </row>
    <row r="3185" spans="1:7" x14ac:dyDescent="0.35">
      <c r="A3185" t="s">
        <v>138</v>
      </c>
      <c r="B3185" t="s">
        <v>227</v>
      </c>
      <c r="C3185" t="s">
        <v>139</v>
      </c>
      <c r="D3185" t="s">
        <v>140</v>
      </c>
      <c r="E3185" t="s">
        <v>141</v>
      </c>
      <c r="F3185" t="s">
        <v>142</v>
      </c>
      <c r="G3185" t="s">
        <v>124</v>
      </c>
    </row>
    <row r="3186" spans="1:7" x14ac:dyDescent="0.35">
      <c r="A3186" t="s">
        <v>167</v>
      </c>
      <c r="B3186" t="s">
        <v>168</v>
      </c>
      <c r="C3186" t="s">
        <v>169</v>
      </c>
    </row>
    <row r="3187" spans="1:7" x14ac:dyDescent="0.35">
      <c r="A3187" t="s">
        <v>123</v>
      </c>
      <c r="B3187" t="s">
        <v>124</v>
      </c>
      <c r="C3187" t="s">
        <v>125</v>
      </c>
    </row>
    <row r="3188" spans="1:7" x14ac:dyDescent="0.35">
      <c r="A3188" t="s">
        <v>50</v>
      </c>
      <c r="B3188" t="s">
        <v>51</v>
      </c>
      <c r="C3188" t="s">
        <v>52</v>
      </c>
      <c r="D3188" t="s">
        <v>63</v>
      </c>
    </row>
    <row r="3189" spans="1:7" x14ac:dyDescent="0.35">
      <c r="A3189" t="s">
        <v>10</v>
      </c>
    </row>
    <row r="3190" spans="1:7" x14ac:dyDescent="0.35">
      <c r="A3190" t="s">
        <v>15</v>
      </c>
    </row>
    <row r="3191" spans="1:7" x14ac:dyDescent="0.35">
      <c r="A3191" t="s">
        <v>15</v>
      </c>
    </row>
    <row r="3192" spans="1:7" x14ac:dyDescent="0.35">
      <c r="A3192" t="s">
        <v>162</v>
      </c>
      <c r="B3192" t="s">
        <v>124</v>
      </c>
    </row>
    <row r="3193" spans="1:7" x14ac:dyDescent="0.35">
      <c r="A3193" t="s">
        <v>50</v>
      </c>
      <c r="B3193" t="s">
        <v>51</v>
      </c>
      <c r="C3193" t="s">
        <v>52</v>
      </c>
      <c r="D3193" t="s">
        <v>60</v>
      </c>
      <c r="E3193" t="s">
        <v>61</v>
      </c>
    </row>
    <row r="3194" spans="1:7" x14ac:dyDescent="0.35">
      <c r="A3194" t="s">
        <v>18</v>
      </c>
    </row>
    <row r="3195" spans="1:7" x14ac:dyDescent="0.35">
      <c r="A3195" t="s">
        <v>50</v>
      </c>
      <c r="B3195" t="s">
        <v>51</v>
      </c>
      <c r="C3195" t="s">
        <v>52</v>
      </c>
      <c r="D3195" t="s">
        <v>61</v>
      </c>
    </row>
    <row r="3196" spans="1:7" x14ac:dyDescent="0.35">
      <c r="A3196" t="s">
        <v>100</v>
      </c>
      <c r="B3196" t="s">
        <v>101</v>
      </c>
      <c r="C3196" t="s">
        <v>102</v>
      </c>
    </row>
    <row r="3197" spans="1:7" x14ac:dyDescent="0.35">
      <c r="A3197" t="s">
        <v>8</v>
      </c>
    </row>
    <row r="3198" spans="1:7" x14ac:dyDescent="0.35">
      <c r="A3198" t="s">
        <v>7</v>
      </c>
    </row>
    <row r="3199" spans="1:7" x14ac:dyDescent="0.35">
      <c r="A3199" t="s">
        <v>93</v>
      </c>
      <c r="B3199" t="s">
        <v>50</v>
      </c>
      <c r="C3199" t="s">
        <v>51</v>
      </c>
      <c r="D3199" t="s">
        <v>52</v>
      </c>
    </row>
    <row r="3200" spans="1:7" x14ac:dyDescent="0.35">
      <c r="A3200" t="s">
        <v>105</v>
      </c>
      <c r="B3200" t="s">
        <v>14</v>
      </c>
    </row>
    <row r="3201" spans="1:3" x14ac:dyDescent="0.35">
      <c r="A3201" t="s">
        <v>12</v>
      </c>
    </row>
    <row r="3202" spans="1:3" x14ac:dyDescent="0.35">
      <c r="A3202" t="s">
        <v>56</v>
      </c>
      <c r="B3202" t="s">
        <v>57</v>
      </c>
    </row>
    <row r="3203" spans="1:3" x14ac:dyDescent="0.35">
      <c r="A3203" t="s">
        <v>10</v>
      </c>
    </row>
    <row r="3204" spans="1:3" x14ac:dyDescent="0.35">
      <c r="A3204" t="s">
        <v>96</v>
      </c>
      <c r="B3204" t="s">
        <v>18</v>
      </c>
    </row>
    <row r="3205" spans="1:3" x14ac:dyDescent="0.35">
      <c r="A3205" t="s">
        <v>81</v>
      </c>
      <c r="B3205" t="s">
        <v>11</v>
      </c>
    </row>
    <row r="3206" spans="1:3" x14ac:dyDescent="0.35">
      <c r="A3206" t="s">
        <v>11</v>
      </c>
    </row>
    <row r="3207" spans="1:3" x14ac:dyDescent="0.35">
      <c r="A3207" t="s">
        <v>81</v>
      </c>
      <c r="B3207" t="s">
        <v>11</v>
      </c>
    </row>
    <row r="3208" spans="1:3" x14ac:dyDescent="0.35">
      <c r="A3208" t="s">
        <v>17</v>
      </c>
    </row>
    <row r="3209" spans="1:3" x14ac:dyDescent="0.35">
      <c r="A3209" t="s">
        <v>48</v>
      </c>
      <c r="B3209" t="s">
        <v>244</v>
      </c>
    </row>
    <row r="3210" spans="1:3" x14ac:dyDescent="0.35">
      <c r="A3210" t="s">
        <v>100</v>
      </c>
      <c r="B3210" t="s">
        <v>101</v>
      </c>
      <c r="C3210" t="s">
        <v>102</v>
      </c>
    </row>
    <row r="3211" spans="1:3" x14ac:dyDescent="0.35">
      <c r="A3211" t="s">
        <v>15</v>
      </c>
    </row>
    <row r="3212" spans="1:3" x14ac:dyDescent="0.35">
      <c r="A3212" t="s">
        <v>3</v>
      </c>
    </row>
    <row r="3213" spans="1:3" x14ac:dyDescent="0.35">
      <c r="A3213" t="s">
        <v>17</v>
      </c>
    </row>
    <row r="3214" spans="1:3" x14ac:dyDescent="0.35">
      <c r="A3214" t="s">
        <v>96</v>
      </c>
      <c r="B3214" t="s">
        <v>18</v>
      </c>
    </row>
    <row r="3215" spans="1:3" x14ac:dyDescent="0.35">
      <c r="A3215" t="s">
        <v>162</v>
      </c>
      <c r="B3215" t="s">
        <v>124</v>
      </c>
    </row>
    <row r="3216" spans="1:3" x14ac:dyDescent="0.35">
      <c r="A3216" t="s">
        <v>10</v>
      </c>
    </row>
    <row r="3217" spans="1:6" x14ac:dyDescent="0.35">
      <c r="A3217" t="s">
        <v>7</v>
      </c>
    </row>
    <row r="3218" spans="1:6" x14ac:dyDescent="0.35">
      <c r="A3218" t="s">
        <v>18</v>
      </c>
    </row>
    <row r="3219" spans="1:6" x14ac:dyDescent="0.35">
      <c r="A3219" t="s">
        <v>14</v>
      </c>
    </row>
    <row r="3220" spans="1:6" x14ac:dyDescent="0.35">
      <c r="A3220" t="s">
        <v>96</v>
      </c>
      <c r="B3220" t="s">
        <v>176</v>
      </c>
      <c r="C3220" t="s">
        <v>66</v>
      </c>
      <c r="D3220" t="s">
        <v>18</v>
      </c>
      <c r="E3220" t="s">
        <v>67</v>
      </c>
      <c r="F3220" t="s">
        <v>68</v>
      </c>
    </row>
    <row r="3221" spans="1:6" x14ac:dyDescent="0.35">
      <c r="A3221" t="s">
        <v>96</v>
      </c>
      <c r="B3221" t="s">
        <v>18</v>
      </c>
    </row>
    <row r="3222" spans="1:6" x14ac:dyDescent="0.35">
      <c r="A3222" t="s">
        <v>1</v>
      </c>
    </row>
    <row r="3223" spans="1:6" x14ac:dyDescent="0.35">
      <c r="A3223" t="s">
        <v>64</v>
      </c>
      <c r="B3223" t="s">
        <v>65</v>
      </c>
      <c r="C3223" t="s">
        <v>66</v>
      </c>
      <c r="D3223" t="s">
        <v>18</v>
      </c>
      <c r="E3223" t="s">
        <v>67</v>
      </c>
      <c r="F3223" t="s">
        <v>68</v>
      </c>
    </row>
    <row r="3224" spans="1:6" x14ac:dyDescent="0.35">
      <c r="A3224" t="s">
        <v>165</v>
      </c>
      <c r="B3224" t="s">
        <v>1</v>
      </c>
    </row>
    <row r="3225" spans="1:6" x14ac:dyDescent="0.35">
      <c r="A3225" t="s">
        <v>167</v>
      </c>
      <c r="B3225" t="s">
        <v>168</v>
      </c>
      <c r="C3225" t="s">
        <v>169</v>
      </c>
    </row>
    <row r="3226" spans="1:6" x14ac:dyDescent="0.35">
      <c r="A3226" t="s">
        <v>17</v>
      </c>
    </row>
    <row r="3227" spans="1:6" x14ac:dyDescent="0.35">
      <c r="A3227" t="s">
        <v>29</v>
      </c>
      <c r="B3227" t="s">
        <v>207</v>
      </c>
      <c r="C3227" t="s">
        <v>167</v>
      </c>
      <c r="D3227" t="s">
        <v>208</v>
      </c>
      <c r="E3227" t="s">
        <v>168</v>
      </c>
      <c r="F3227" t="s">
        <v>209</v>
      </c>
    </row>
    <row r="3228" spans="1:6" x14ac:dyDescent="0.35">
      <c r="A3228" t="s">
        <v>9</v>
      </c>
    </row>
    <row r="3229" spans="1:6" x14ac:dyDescent="0.35">
      <c r="A3229" t="s">
        <v>12</v>
      </c>
    </row>
    <row r="3230" spans="1:6" x14ac:dyDescent="0.35">
      <c r="A3230" t="s">
        <v>100</v>
      </c>
      <c r="B3230" t="s">
        <v>101</v>
      </c>
      <c r="C3230" t="s">
        <v>102</v>
      </c>
    </row>
    <row r="3231" spans="1:6" x14ac:dyDescent="0.35">
      <c r="A3231" t="s">
        <v>1</v>
      </c>
    </row>
    <row r="3232" spans="1:6" x14ac:dyDescent="0.35">
      <c r="A3232" t="s">
        <v>18</v>
      </c>
      <c r="B3232" t="s">
        <v>245</v>
      </c>
    </row>
    <row r="3233" spans="1:3" x14ac:dyDescent="0.35">
      <c r="A3233" t="s">
        <v>12</v>
      </c>
    </row>
    <row r="3234" spans="1:3" x14ac:dyDescent="0.35">
      <c r="A3234" t="s">
        <v>100</v>
      </c>
      <c r="B3234" t="s">
        <v>101</v>
      </c>
      <c r="C3234" t="s">
        <v>102</v>
      </c>
    </row>
    <row r="3235" spans="1:3" x14ac:dyDescent="0.35">
      <c r="A3235" t="s">
        <v>81</v>
      </c>
      <c r="B3235" t="s">
        <v>11</v>
      </c>
    </row>
    <row r="3236" spans="1:3" x14ac:dyDescent="0.35">
      <c r="A3236" t="s">
        <v>100</v>
      </c>
      <c r="B3236" t="s">
        <v>101</v>
      </c>
      <c r="C3236" t="s">
        <v>102</v>
      </c>
    </row>
    <row r="3237" spans="1:3" x14ac:dyDescent="0.35">
      <c r="A3237" t="s">
        <v>108</v>
      </c>
      <c r="B3237" t="s">
        <v>11</v>
      </c>
    </row>
    <row r="3238" spans="1:3" x14ac:dyDescent="0.35">
      <c r="A3238" t="s">
        <v>126</v>
      </c>
      <c r="B3238" t="s">
        <v>127</v>
      </c>
    </row>
    <row r="3239" spans="1:3" x14ac:dyDescent="0.35">
      <c r="A3239" t="s">
        <v>1</v>
      </c>
      <c r="B3239" t="s">
        <v>196</v>
      </c>
    </row>
    <row r="3240" spans="1:3" x14ac:dyDescent="0.35">
      <c r="A3240" t="s">
        <v>1</v>
      </c>
      <c r="B3240" t="s">
        <v>87</v>
      </c>
      <c r="C3240" t="s">
        <v>131</v>
      </c>
    </row>
    <row r="3241" spans="1:3" x14ac:dyDescent="0.35">
      <c r="A3241" t="s">
        <v>123</v>
      </c>
      <c r="B3241" t="s">
        <v>124</v>
      </c>
      <c r="C3241" t="s">
        <v>125</v>
      </c>
    </row>
    <row r="3242" spans="1:3" x14ac:dyDescent="0.35">
      <c r="A3242" t="s">
        <v>9</v>
      </c>
    </row>
    <row r="3243" spans="1:3" x14ac:dyDescent="0.35">
      <c r="A3243" t="s">
        <v>7</v>
      </c>
    </row>
    <row r="3244" spans="1:3" x14ac:dyDescent="0.35">
      <c r="A3244" t="s">
        <v>1</v>
      </c>
      <c r="B3244" t="s">
        <v>87</v>
      </c>
      <c r="C3244" t="s">
        <v>170</v>
      </c>
    </row>
    <row r="3245" spans="1:3" x14ac:dyDescent="0.35">
      <c r="A3245" t="s">
        <v>56</v>
      </c>
      <c r="B3245" t="s">
        <v>57</v>
      </c>
    </row>
    <row r="3246" spans="1:3" x14ac:dyDescent="0.35">
      <c r="A3246" t="s">
        <v>115</v>
      </c>
      <c r="B3246" t="s">
        <v>11</v>
      </c>
    </row>
    <row r="3247" spans="1:3" x14ac:dyDescent="0.35">
      <c r="A3247" t="s">
        <v>121</v>
      </c>
      <c r="B3247" t="s">
        <v>242</v>
      </c>
    </row>
    <row r="3248" spans="1:3" x14ac:dyDescent="0.35">
      <c r="A3248" t="s">
        <v>1</v>
      </c>
    </row>
    <row r="3249" spans="1:5" x14ac:dyDescent="0.35">
      <c r="A3249" t="s">
        <v>50</v>
      </c>
      <c r="B3249" t="s">
        <v>51</v>
      </c>
      <c r="C3249" t="s">
        <v>52</v>
      </c>
      <c r="D3249" t="s">
        <v>63</v>
      </c>
    </row>
    <row r="3250" spans="1:5" x14ac:dyDescent="0.35">
      <c r="A3250" t="s">
        <v>41</v>
      </c>
      <c r="B3250" t="s">
        <v>218</v>
      </c>
      <c r="C3250" t="s">
        <v>167</v>
      </c>
    </row>
    <row r="3251" spans="1:5" x14ac:dyDescent="0.35">
      <c r="A3251" t="s">
        <v>15</v>
      </c>
    </row>
    <row r="3252" spans="1:5" x14ac:dyDescent="0.35">
      <c r="A3252" t="s">
        <v>18</v>
      </c>
      <c r="B3252" t="s">
        <v>160</v>
      </c>
    </row>
    <row r="3253" spans="1:5" x14ac:dyDescent="0.35">
      <c r="A3253" t="s">
        <v>64</v>
      </c>
      <c r="B3253" t="s">
        <v>66</v>
      </c>
      <c r="C3253" t="s">
        <v>18</v>
      </c>
      <c r="D3253" t="s">
        <v>67</v>
      </c>
      <c r="E3253" t="s">
        <v>68</v>
      </c>
    </row>
    <row r="3254" spans="1:5" x14ac:dyDescent="0.35">
      <c r="A3254" t="s">
        <v>105</v>
      </c>
      <c r="B3254" t="s">
        <v>14</v>
      </c>
    </row>
    <row r="3255" spans="1:5" x14ac:dyDescent="0.35">
      <c r="A3255" t="s">
        <v>100</v>
      </c>
      <c r="B3255" t="s">
        <v>101</v>
      </c>
      <c r="C3255" t="s">
        <v>102</v>
      </c>
    </row>
    <row r="3256" spans="1:5" x14ac:dyDescent="0.35">
      <c r="A3256" t="s">
        <v>1</v>
      </c>
    </row>
    <row r="3257" spans="1:5" x14ac:dyDescent="0.35">
      <c r="A3257" t="s">
        <v>149</v>
      </c>
      <c r="B3257" t="s">
        <v>109</v>
      </c>
      <c r="C3257" t="s">
        <v>110</v>
      </c>
      <c r="D3257" t="s">
        <v>111</v>
      </c>
    </row>
    <row r="3258" spans="1:5" x14ac:dyDescent="0.35">
      <c r="A3258" t="s">
        <v>96</v>
      </c>
      <c r="B3258" t="s">
        <v>18</v>
      </c>
    </row>
    <row r="3259" spans="1:5" x14ac:dyDescent="0.35">
      <c r="A3259" t="s">
        <v>121</v>
      </c>
      <c r="B3259" t="s">
        <v>122</v>
      </c>
    </row>
    <row r="3260" spans="1:5" x14ac:dyDescent="0.35">
      <c r="A3260" t="s">
        <v>100</v>
      </c>
      <c r="B3260" t="s">
        <v>101</v>
      </c>
      <c r="C3260" t="s">
        <v>102</v>
      </c>
    </row>
    <row r="3261" spans="1:5" x14ac:dyDescent="0.35">
      <c r="A3261" t="s">
        <v>7</v>
      </c>
    </row>
    <row r="3262" spans="1:5" x14ac:dyDescent="0.35">
      <c r="A3262" t="s">
        <v>3</v>
      </c>
    </row>
    <row r="3263" spans="1:5" x14ac:dyDescent="0.35">
      <c r="A3263" t="s">
        <v>7</v>
      </c>
    </row>
    <row r="3264" spans="1:5" x14ac:dyDescent="0.35">
      <c r="A3264" t="s">
        <v>126</v>
      </c>
      <c r="B3264" t="s">
        <v>127</v>
      </c>
    </row>
    <row r="3265" spans="1:4" x14ac:dyDescent="0.35">
      <c r="A3265" t="s">
        <v>27</v>
      </c>
    </row>
    <row r="3266" spans="1:4" x14ac:dyDescent="0.35">
      <c r="A3266" t="s">
        <v>121</v>
      </c>
      <c r="B3266" t="s">
        <v>246</v>
      </c>
    </row>
    <row r="3267" spans="1:4" x14ac:dyDescent="0.35">
      <c r="A3267" t="s">
        <v>11</v>
      </c>
    </row>
    <row r="3268" spans="1:4" x14ac:dyDescent="0.35">
      <c r="A3268" t="s">
        <v>1</v>
      </c>
    </row>
    <row r="3269" spans="1:4" x14ac:dyDescent="0.35">
      <c r="A3269" t="s">
        <v>21</v>
      </c>
    </row>
    <row r="3270" spans="1:4" x14ac:dyDescent="0.35">
      <c r="A3270" t="s">
        <v>50</v>
      </c>
      <c r="B3270" t="s">
        <v>51</v>
      </c>
      <c r="C3270" t="s">
        <v>52</v>
      </c>
      <c r="D3270" t="s">
        <v>63</v>
      </c>
    </row>
    <row r="3271" spans="1:4" x14ac:dyDescent="0.35">
      <c r="A3271" t="s">
        <v>18</v>
      </c>
      <c r="B3271" t="s">
        <v>160</v>
      </c>
    </row>
    <row r="3272" spans="1:4" x14ac:dyDescent="0.35">
      <c r="A3272" t="s">
        <v>4</v>
      </c>
    </row>
    <row r="3273" spans="1:4" x14ac:dyDescent="0.35">
      <c r="A3273" t="s">
        <v>1</v>
      </c>
    </row>
    <row r="3274" spans="1:4" x14ac:dyDescent="0.35">
      <c r="A3274" t="s">
        <v>50</v>
      </c>
      <c r="B3274" t="s">
        <v>51</v>
      </c>
      <c r="C3274" t="s">
        <v>52</v>
      </c>
    </row>
    <row r="3275" spans="1:4" x14ac:dyDescent="0.35">
      <c r="A3275" t="s">
        <v>96</v>
      </c>
      <c r="B3275" t="s">
        <v>18</v>
      </c>
    </row>
    <row r="3276" spans="1:4" x14ac:dyDescent="0.35">
      <c r="A3276" t="s">
        <v>11</v>
      </c>
    </row>
    <row r="3277" spans="1:4" x14ac:dyDescent="0.35">
      <c r="A3277" t="s">
        <v>155</v>
      </c>
      <c r="B3277" t="s">
        <v>156</v>
      </c>
      <c r="C3277" t="s">
        <v>157</v>
      </c>
    </row>
    <row r="3278" spans="1:4" x14ac:dyDescent="0.35">
      <c r="A3278" t="s">
        <v>3</v>
      </c>
    </row>
    <row r="3279" spans="1:4" x14ac:dyDescent="0.35">
      <c r="A3279" t="s">
        <v>7</v>
      </c>
    </row>
    <row r="3280" spans="1:4" x14ac:dyDescent="0.35">
      <c r="A3280" t="s">
        <v>28</v>
      </c>
    </row>
    <row r="3281" spans="1:6" x14ac:dyDescent="0.35">
      <c r="A3281" t="s">
        <v>3</v>
      </c>
    </row>
    <row r="3282" spans="1:6" x14ac:dyDescent="0.35">
      <c r="A3282" t="s">
        <v>7</v>
      </c>
    </row>
    <row r="3283" spans="1:6" x14ac:dyDescent="0.35">
      <c r="A3283" t="s">
        <v>81</v>
      </c>
      <c r="B3283" t="s">
        <v>11</v>
      </c>
    </row>
    <row r="3284" spans="1:6" x14ac:dyDescent="0.35">
      <c r="A3284" t="s">
        <v>162</v>
      </c>
      <c r="B3284" t="s">
        <v>247</v>
      </c>
      <c r="C3284" t="s">
        <v>164</v>
      </c>
      <c r="D3284" t="s">
        <v>180</v>
      </c>
      <c r="E3284" t="s">
        <v>124</v>
      </c>
    </row>
    <row r="3285" spans="1:6" x14ac:dyDescent="0.35">
      <c r="A3285" t="s">
        <v>64</v>
      </c>
      <c r="B3285" t="s">
        <v>18</v>
      </c>
    </row>
    <row r="3286" spans="1:6" x14ac:dyDescent="0.35">
      <c r="A3286" t="s">
        <v>23</v>
      </c>
    </row>
    <row r="3287" spans="1:6" x14ac:dyDescent="0.35">
      <c r="A3287" t="s">
        <v>23</v>
      </c>
    </row>
    <row r="3288" spans="1:6" x14ac:dyDescent="0.35">
      <c r="A3288" t="s">
        <v>50</v>
      </c>
      <c r="B3288" t="s">
        <v>51</v>
      </c>
      <c r="C3288" t="s">
        <v>52</v>
      </c>
      <c r="D3288" t="s">
        <v>63</v>
      </c>
    </row>
    <row r="3289" spans="1:6" x14ac:dyDescent="0.35">
      <c r="A3289" t="s">
        <v>18</v>
      </c>
    </row>
    <row r="3290" spans="1:6" x14ac:dyDescent="0.35">
      <c r="A3290" t="s">
        <v>50</v>
      </c>
      <c r="B3290" t="s">
        <v>51</v>
      </c>
      <c r="C3290" t="s">
        <v>52</v>
      </c>
    </row>
    <row r="3291" spans="1:6" x14ac:dyDescent="0.35">
      <c r="A3291" t="s">
        <v>31</v>
      </c>
    </row>
    <row r="3292" spans="1:6" x14ac:dyDescent="0.35">
      <c r="A3292" t="s">
        <v>15</v>
      </c>
    </row>
    <row r="3293" spans="1:6" x14ac:dyDescent="0.35">
      <c r="A3293" t="s">
        <v>64</v>
      </c>
      <c r="B3293" t="s">
        <v>66</v>
      </c>
      <c r="C3293" t="s">
        <v>18</v>
      </c>
      <c r="D3293" t="s">
        <v>67</v>
      </c>
      <c r="E3293" t="s">
        <v>68</v>
      </c>
    </row>
    <row r="3294" spans="1:6" x14ac:dyDescent="0.35">
      <c r="A3294" t="s">
        <v>56</v>
      </c>
      <c r="B3294" t="s">
        <v>57</v>
      </c>
    </row>
    <row r="3295" spans="1:6" x14ac:dyDescent="0.35">
      <c r="A3295" t="s">
        <v>64</v>
      </c>
      <c r="B3295" t="s">
        <v>65</v>
      </c>
      <c r="C3295" t="s">
        <v>66</v>
      </c>
      <c r="D3295" t="s">
        <v>18</v>
      </c>
      <c r="E3295" t="s">
        <v>67</v>
      </c>
      <c r="F3295" t="s">
        <v>68</v>
      </c>
    </row>
    <row r="3296" spans="1:6" x14ac:dyDescent="0.35">
      <c r="A3296" t="s">
        <v>7</v>
      </c>
    </row>
    <row r="3297" spans="1:7" x14ac:dyDescent="0.35">
      <c r="A3297" t="s">
        <v>7</v>
      </c>
    </row>
    <row r="3298" spans="1:7" x14ac:dyDescent="0.35">
      <c r="A3298" t="s">
        <v>4</v>
      </c>
    </row>
    <row r="3299" spans="1:7" x14ac:dyDescent="0.35">
      <c r="A3299" t="s">
        <v>12</v>
      </c>
    </row>
    <row r="3300" spans="1:7" x14ac:dyDescent="0.35">
      <c r="A3300" t="s">
        <v>96</v>
      </c>
      <c r="B3300" t="s">
        <v>18</v>
      </c>
    </row>
    <row r="3301" spans="1:7" x14ac:dyDescent="0.35">
      <c r="A3301" t="s">
        <v>108</v>
      </c>
      <c r="B3301" t="s">
        <v>11</v>
      </c>
    </row>
    <row r="3302" spans="1:7" x14ac:dyDescent="0.35">
      <c r="A3302" t="s">
        <v>10</v>
      </c>
    </row>
    <row r="3303" spans="1:7" x14ac:dyDescent="0.35">
      <c r="A3303" t="s">
        <v>24</v>
      </c>
    </row>
    <row r="3304" spans="1:7" x14ac:dyDescent="0.35">
      <c r="A3304" t="s">
        <v>11</v>
      </c>
    </row>
    <row r="3305" spans="1:7" x14ac:dyDescent="0.35">
      <c r="A3305" t="s">
        <v>93</v>
      </c>
      <c r="B3305" t="s">
        <v>50</v>
      </c>
      <c r="C3305" t="s">
        <v>51</v>
      </c>
      <c r="D3305" t="s">
        <v>52</v>
      </c>
      <c r="E3305" t="s">
        <v>94</v>
      </c>
      <c r="F3305" t="s">
        <v>77</v>
      </c>
      <c r="G3305" t="s">
        <v>95</v>
      </c>
    </row>
    <row r="3306" spans="1:7" x14ac:dyDescent="0.35">
      <c r="A3306" t="s">
        <v>18</v>
      </c>
    </row>
    <row r="3307" spans="1:7" x14ac:dyDescent="0.35">
      <c r="A3307" t="s">
        <v>7</v>
      </c>
    </row>
    <row r="3308" spans="1:7" x14ac:dyDescent="0.35">
      <c r="A3308" t="s">
        <v>18</v>
      </c>
      <c r="B3308" t="s">
        <v>248</v>
      </c>
      <c r="C3308" t="s">
        <v>249</v>
      </c>
    </row>
    <row r="3309" spans="1:7" x14ac:dyDescent="0.35">
      <c r="A3309" t="s">
        <v>64</v>
      </c>
      <c r="B3309" t="s">
        <v>66</v>
      </c>
      <c r="C3309" t="s">
        <v>18</v>
      </c>
      <c r="D3309" t="s">
        <v>67</v>
      </c>
      <c r="E3309" t="s">
        <v>68</v>
      </c>
    </row>
    <row r="3310" spans="1:7" x14ac:dyDescent="0.35">
      <c r="A3310" t="s">
        <v>4</v>
      </c>
    </row>
    <row r="3311" spans="1:7" x14ac:dyDescent="0.35">
      <c r="A3311" t="s">
        <v>17</v>
      </c>
    </row>
    <row r="3312" spans="1:7" x14ac:dyDescent="0.35">
      <c r="A3312" t="s">
        <v>50</v>
      </c>
      <c r="B3312" t="s">
        <v>51</v>
      </c>
      <c r="C3312" t="s">
        <v>52</v>
      </c>
    </row>
    <row r="3313" spans="1:7" x14ac:dyDescent="0.35">
      <c r="A3313" t="s">
        <v>15</v>
      </c>
    </row>
    <row r="3314" spans="1:7" x14ac:dyDescent="0.35">
      <c r="A3314" t="s">
        <v>96</v>
      </c>
      <c r="B3314" t="s">
        <v>18</v>
      </c>
    </row>
    <row r="3315" spans="1:7" x14ac:dyDescent="0.35">
      <c r="A3315" t="s">
        <v>12</v>
      </c>
    </row>
    <row r="3316" spans="1:7" x14ac:dyDescent="0.35">
      <c r="A3316" t="s">
        <v>109</v>
      </c>
      <c r="B3316" t="s">
        <v>110</v>
      </c>
      <c r="C3316" t="s">
        <v>111</v>
      </c>
    </row>
    <row r="3317" spans="1:7" x14ac:dyDescent="0.35">
      <c r="A3317" t="s">
        <v>8</v>
      </c>
    </row>
    <row r="3318" spans="1:7" x14ac:dyDescent="0.35">
      <c r="A3318" t="s">
        <v>1</v>
      </c>
    </row>
    <row r="3319" spans="1:7" x14ac:dyDescent="0.35">
      <c r="A3319" t="s">
        <v>124</v>
      </c>
      <c r="B3319" t="s">
        <v>125</v>
      </c>
    </row>
    <row r="3320" spans="1:7" x14ac:dyDescent="0.35">
      <c r="A3320" t="s">
        <v>3</v>
      </c>
    </row>
    <row r="3321" spans="1:7" x14ac:dyDescent="0.35">
      <c r="A3321" t="s">
        <v>100</v>
      </c>
      <c r="B3321" t="s">
        <v>101</v>
      </c>
      <c r="C3321" t="s">
        <v>102</v>
      </c>
    </row>
    <row r="3322" spans="1:7" x14ac:dyDescent="0.35">
      <c r="A3322" t="s">
        <v>12</v>
      </c>
    </row>
    <row r="3323" spans="1:7" x14ac:dyDescent="0.35">
      <c r="A3323" t="s">
        <v>50</v>
      </c>
      <c r="B3323" t="s">
        <v>51</v>
      </c>
      <c r="C3323" t="s">
        <v>52</v>
      </c>
      <c r="D3323" t="s">
        <v>63</v>
      </c>
    </row>
    <row r="3324" spans="1:7" x14ac:dyDescent="0.35">
      <c r="A3324" t="s">
        <v>1</v>
      </c>
    </row>
    <row r="3325" spans="1:7" x14ac:dyDescent="0.35">
      <c r="A3325" t="s">
        <v>151</v>
      </c>
      <c r="B3325" t="s">
        <v>152</v>
      </c>
      <c r="C3325" t="s">
        <v>153</v>
      </c>
    </row>
    <row r="3326" spans="1:7" x14ac:dyDescent="0.35">
      <c r="A3326" t="s">
        <v>50</v>
      </c>
      <c r="B3326" t="s">
        <v>51</v>
      </c>
      <c r="C3326" t="s">
        <v>82</v>
      </c>
      <c r="D3326" t="s">
        <v>52</v>
      </c>
      <c r="E3326" t="s">
        <v>77</v>
      </c>
      <c r="F3326" t="s">
        <v>83</v>
      </c>
      <c r="G3326" t="s">
        <v>84</v>
      </c>
    </row>
    <row r="3327" spans="1:7" x14ac:dyDescent="0.35">
      <c r="A3327" t="s">
        <v>12</v>
      </c>
    </row>
    <row r="3328" spans="1:7" x14ac:dyDescent="0.35">
      <c r="A3328" t="s">
        <v>148</v>
      </c>
      <c r="B3328" t="s">
        <v>18</v>
      </c>
    </row>
    <row r="3329" spans="1:4" x14ac:dyDescent="0.35">
      <c r="A3329" t="s">
        <v>2</v>
      </c>
    </row>
    <row r="3330" spans="1:4" x14ac:dyDescent="0.35">
      <c r="A3330" t="s">
        <v>50</v>
      </c>
      <c r="B3330" t="s">
        <v>51</v>
      </c>
      <c r="C3330" t="s">
        <v>52</v>
      </c>
      <c r="D3330" t="s">
        <v>92</v>
      </c>
    </row>
    <row r="3331" spans="1:4" x14ac:dyDescent="0.35">
      <c r="A3331" t="s">
        <v>8</v>
      </c>
    </row>
    <row r="3332" spans="1:4" x14ac:dyDescent="0.35">
      <c r="A3332" t="s">
        <v>7</v>
      </c>
    </row>
    <row r="3333" spans="1:4" x14ac:dyDescent="0.35">
      <c r="A3333" t="s">
        <v>96</v>
      </c>
      <c r="B3333" t="s">
        <v>18</v>
      </c>
    </row>
    <row r="3334" spans="1:4" x14ac:dyDescent="0.35">
      <c r="A3334" t="s">
        <v>2</v>
      </c>
    </row>
    <row r="3335" spans="1:4" x14ac:dyDescent="0.35">
      <c r="A3335" t="s">
        <v>105</v>
      </c>
      <c r="B3335" t="s">
        <v>137</v>
      </c>
      <c r="C3335" t="s">
        <v>11</v>
      </c>
    </row>
    <row r="3336" spans="1:4" x14ac:dyDescent="0.35">
      <c r="A3336" t="s">
        <v>12</v>
      </c>
    </row>
    <row r="3337" spans="1:4" x14ac:dyDescent="0.35">
      <c r="A3337" t="s">
        <v>64</v>
      </c>
      <c r="B3337" t="s">
        <v>18</v>
      </c>
    </row>
    <row r="3338" spans="1:4" x14ac:dyDescent="0.35">
      <c r="A3338" t="s">
        <v>50</v>
      </c>
      <c r="B3338" t="s">
        <v>51</v>
      </c>
      <c r="C3338" t="s">
        <v>52</v>
      </c>
      <c r="D3338" t="s">
        <v>63</v>
      </c>
    </row>
    <row r="3339" spans="1:4" x14ac:dyDescent="0.35">
      <c r="A3339" t="s">
        <v>31</v>
      </c>
    </row>
    <row r="3340" spans="1:4" x14ac:dyDescent="0.35">
      <c r="A3340" t="s">
        <v>109</v>
      </c>
      <c r="B3340" t="s">
        <v>110</v>
      </c>
      <c r="C3340" t="s">
        <v>111</v>
      </c>
    </row>
    <row r="3341" spans="1:4" x14ac:dyDescent="0.35">
      <c r="A3341" t="s">
        <v>7</v>
      </c>
    </row>
    <row r="3342" spans="1:4" x14ac:dyDescent="0.35">
      <c r="A3342" t="s">
        <v>20</v>
      </c>
    </row>
    <row r="3343" spans="1:4" x14ac:dyDescent="0.35">
      <c r="A3343" t="s">
        <v>1</v>
      </c>
      <c r="B3343" t="s">
        <v>196</v>
      </c>
    </row>
    <row r="3344" spans="1:4" x14ac:dyDescent="0.35">
      <c r="A3344" t="s">
        <v>12</v>
      </c>
    </row>
    <row r="3345" spans="1:3" x14ac:dyDescent="0.35">
      <c r="A3345" t="s">
        <v>7</v>
      </c>
    </row>
    <row r="3346" spans="1:3" x14ac:dyDescent="0.35">
      <c r="A3346" t="s">
        <v>30</v>
      </c>
    </row>
    <row r="3347" spans="1:3" x14ac:dyDescent="0.35">
      <c r="A3347" t="s">
        <v>56</v>
      </c>
      <c r="B3347" t="s">
        <v>57</v>
      </c>
    </row>
    <row r="3348" spans="1:3" x14ac:dyDescent="0.35">
      <c r="A3348" t="s">
        <v>18</v>
      </c>
    </row>
    <row r="3349" spans="1:3" x14ac:dyDescent="0.35">
      <c r="A3349" t="s">
        <v>56</v>
      </c>
      <c r="B3349" t="s">
        <v>57</v>
      </c>
    </row>
    <row r="3350" spans="1:3" x14ac:dyDescent="0.35">
      <c r="A3350" t="s">
        <v>1</v>
      </c>
    </row>
    <row r="3351" spans="1:3" x14ac:dyDescent="0.35">
      <c r="A3351" t="s">
        <v>10</v>
      </c>
    </row>
    <row r="3352" spans="1:3" x14ac:dyDescent="0.35">
      <c r="A3352" t="s">
        <v>17</v>
      </c>
    </row>
    <row r="3353" spans="1:3" x14ac:dyDescent="0.35">
      <c r="A3353" t="s">
        <v>96</v>
      </c>
      <c r="B3353" t="s">
        <v>200</v>
      </c>
      <c r="C3353" t="s">
        <v>18</v>
      </c>
    </row>
    <row r="3354" spans="1:3" x14ac:dyDescent="0.35">
      <c r="A3354" t="s">
        <v>7</v>
      </c>
    </row>
    <row r="3355" spans="1:3" x14ac:dyDescent="0.35">
      <c r="A3355" t="s">
        <v>96</v>
      </c>
      <c r="B3355" t="s">
        <v>18</v>
      </c>
    </row>
    <row r="3356" spans="1:3" x14ac:dyDescent="0.35">
      <c r="A3356" t="s">
        <v>3</v>
      </c>
    </row>
    <row r="3357" spans="1:3" x14ac:dyDescent="0.35">
      <c r="A3357" t="s">
        <v>121</v>
      </c>
      <c r="B3357" t="s">
        <v>250</v>
      </c>
      <c r="C3357" t="s">
        <v>18</v>
      </c>
    </row>
    <row r="3358" spans="1:3" x14ac:dyDescent="0.35">
      <c r="A3358" t="s">
        <v>108</v>
      </c>
      <c r="B3358" t="s">
        <v>11</v>
      </c>
    </row>
    <row r="3359" spans="1:3" x14ac:dyDescent="0.35">
      <c r="A3359" t="s">
        <v>126</v>
      </c>
      <c r="B3359" t="s">
        <v>127</v>
      </c>
    </row>
    <row r="3360" spans="1:3" x14ac:dyDescent="0.35">
      <c r="A3360" t="s">
        <v>1</v>
      </c>
    </row>
    <row r="3361" spans="1:7" x14ac:dyDescent="0.35">
      <c r="A3361" t="s">
        <v>15</v>
      </c>
    </row>
    <row r="3362" spans="1:7" x14ac:dyDescent="0.35">
      <c r="A3362" t="s">
        <v>1</v>
      </c>
      <c r="B3362" t="s">
        <v>87</v>
      </c>
    </row>
    <row r="3363" spans="1:7" x14ac:dyDescent="0.35">
      <c r="A3363" t="s">
        <v>33</v>
      </c>
    </row>
    <row r="3364" spans="1:7" x14ac:dyDescent="0.35">
      <c r="A3364" t="s">
        <v>12</v>
      </c>
    </row>
    <row r="3365" spans="1:7" x14ac:dyDescent="0.35">
      <c r="A3365" t="s">
        <v>17</v>
      </c>
    </row>
    <row r="3366" spans="1:7" x14ac:dyDescent="0.35">
      <c r="A3366" t="s">
        <v>50</v>
      </c>
      <c r="B3366" t="s">
        <v>51</v>
      </c>
      <c r="C3366" t="s">
        <v>52</v>
      </c>
      <c r="D3366" t="s">
        <v>63</v>
      </c>
    </row>
    <row r="3367" spans="1:7" x14ac:dyDescent="0.35">
      <c r="A3367" t="s">
        <v>138</v>
      </c>
      <c r="B3367" t="s">
        <v>227</v>
      </c>
      <c r="C3367" t="s">
        <v>139</v>
      </c>
      <c r="D3367" t="s">
        <v>140</v>
      </c>
      <c r="E3367" t="s">
        <v>141</v>
      </c>
      <c r="F3367" t="s">
        <v>142</v>
      </c>
      <c r="G3367" t="s">
        <v>124</v>
      </c>
    </row>
    <row r="3368" spans="1:7" x14ac:dyDescent="0.35">
      <c r="A3368" t="s">
        <v>1</v>
      </c>
      <c r="B3368" t="s">
        <v>87</v>
      </c>
    </row>
    <row r="3369" spans="1:7" x14ac:dyDescent="0.35">
      <c r="A3369" t="s">
        <v>64</v>
      </c>
      <c r="B3369" t="s">
        <v>65</v>
      </c>
      <c r="C3369" t="s">
        <v>66</v>
      </c>
      <c r="D3369" t="s">
        <v>18</v>
      </c>
      <c r="E3369" t="s">
        <v>67</v>
      </c>
      <c r="F3369" t="s">
        <v>68</v>
      </c>
    </row>
    <row r="3370" spans="1:7" x14ac:dyDescent="0.35">
      <c r="A3370" t="s">
        <v>12</v>
      </c>
      <c r="B3370" t="s">
        <v>177</v>
      </c>
    </row>
    <row r="3371" spans="1:7" x14ac:dyDescent="0.35">
      <c r="A3371" t="s">
        <v>56</v>
      </c>
      <c r="B3371" t="s">
        <v>57</v>
      </c>
    </row>
    <row r="3372" spans="1:7" x14ac:dyDescent="0.35">
      <c r="A3372" t="s">
        <v>7</v>
      </c>
    </row>
    <row r="3373" spans="1:7" x14ac:dyDescent="0.35">
      <c r="A3373" t="s">
        <v>56</v>
      </c>
      <c r="B3373" t="s">
        <v>57</v>
      </c>
    </row>
    <row r="3374" spans="1:7" x14ac:dyDescent="0.35">
      <c r="A3374" t="s">
        <v>96</v>
      </c>
      <c r="B3374" t="s">
        <v>176</v>
      </c>
      <c r="C3374" t="s">
        <v>66</v>
      </c>
      <c r="D3374" t="s">
        <v>18</v>
      </c>
      <c r="E3374" t="s">
        <v>67</v>
      </c>
      <c r="F3374" t="s">
        <v>68</v>
      </c>
    </row>
    <row r="3375" spans="1:7" x14ac:dyDescent="0.35">
      <c r="A3375" t="s">
        <v>3</v>
      </c>
    </row>
    <row r="3376" spans="1:7" x14ac:dyDescent="0.35">
      <c r="A3376" t="s">
        <v>5</v>
      </c>
    </row>
    <row r="3377" spans="1:6" x14ac:dyDescent="0.35">
      <c r="A3377" t="s">
        <v>12</v>
      </c>
    </row>
    <row r="3378" spans="1:6" x14ac:dyDescent="0.35">
      <c r="A3378" t="s">
        <v>96</v>
      </c>
      <c r="B3378" t="s">
        <v>18</v>
      </c>
    </row>
    <row r="3379" spans="1:6" x14ac:dyDescent="0.35">
      <c r="A3379" t="s">
        <v>41</v>
      </c>
    </row>
    <row r="3380" spans="1:6" x14ac:dyDescent="0.35">
      <c r="A3380" t="s">
        <v>18</v>
      </c>
      <c r="B3380" t="s">
        <v>160</v>
      </c>
    </row>
    <row r="3381" spans="1:6" x14ac:dyDescent="0.35">
      <c r="A3381" t="s">
        <v>7</v>
      </c>
    </row>
    <row r="3382" spans="1:6" x14ac:dyDescent="0.35">
      <c r="A3382" t="s">
        <v>1</v>
      </c>
      <c r="B3382" t="s">
        <v>87</v>
      </c>
    </row>
    <row r="3383" spans="1:6" x14ac:dyDescent="0.35">
      <c r="A3383" t="s">
        <v>96</v>
      </c>
      <c r="B3383" t="s">
        <v>176</v>
      </c>
      <c r="C3383" t="s">
        <v>66</v>
      </c>
      <c r="D3383" t="s">
        <v>18</v>
      </c>
      <c r="E3383" t="s">
        <v>67</v>
      </c>
      <c r="F3383" t="s">
        <v>68</v>
      </c>
    </row>
    <row r="3384" spans="1:6" x14ac:dyDescent="0.35">
      <c r="A3384" t="s">
        <v>1</v>
      </c>
      <c r="B3384" t="s">
        <v>87</v>
      </c>
      <c r="C3384" t="s">
        <v>131</v>
      </c>
    </row>
    <row r="3385" spans="1:6" x14ac:dyDescent="0.35">
      <c r="A3385" t="s">
        <v>20</v>
      </c>
    </row>
    <row r="3386" spans="1:6" x14ac:dyDescent="0.35">
      <c r="A3386" t="s">
        <v>7</v>
      </c>
    </row>
    <row r="3387" spans="1:6" x14ac:dyDescent="0.35">
      <c r="A3387" t="s">
        <v>96</v>
      </c>
      <c r="B3387" t="s">
        <v>176</v>
      </c>
      <c r="C3387" t="s">
        <v>66</v>
      </c>
      <c r="D3387" t="s">
        <v>18</v>
      </c>
      <c r="E3387" t="s">
        <v>67</v>
      </c>
      <c r="F3387" t="s">
        <v>68</v>
      </c>
    </row>
    <row r="3388" spans="1:6" x14ac:dyDescent="0.35">
      <c r="A3388" t="s">
        <v>96</v>
      </c>
      <c r="B3388" t="s">
        <v>176</v>
      </c>
      <c r="C3388" t="s">
        <v>66</v>
      </c>
      <c r="D3388" t="s">
        <v>18</v>
      </c>
      <c r="E3388" t="s">
        <v>67</v>
      </c>
      <c r="F3388" t="s">
        <v>68</v>
      </c>
    </row>
    <row r="3389" spans="1:6" x14ac:dyDescent="0.35">
      <c r="A3389" t="s">
        <v>165</v>
      </c>
      <c r="B3389" t="s">
        <v>1</v>
      </c>
    </row>
    <row r="3390" spans="1:6" x14ac:dyDescent="0.35">
      <c r="A3390" t="s">
        <v>50</v>
      </c>
      <c r="B3390" t="s">
        <v>51</v>
      </c>
      <c r="C3390" t="s">
        <v>52</v>
      </c>
      <c r="D3390" t="s">
        <v>60</v>
      </c>
      <c r="E3390" t="s">
        <v>61</v>
      </c>
    </row>
    <row r="3391" spans="1:6" x14ac:dyDescent="0.35">
      <c r="A3391" t="s">
        <v>1</v>
      </c>
      <c r="B3391" t="s">
        <v>87</v>
      </c>
      <c r="C3391" t="s">
        <v>235</v>
      </c>
    </row>
    <row r="3392" spans="1:6" x14ac:dyDescent="0.35">
      <c r="A3392" t="s">
        <v>109</v>
      </c>
      <c r="B3392" t="s">
        <v>110</v>
      </c>
      <c r="C3392" t="s">
        <v>111</v>
      </c>
    </row>
    <row r="3393" spans="1:6" x14ac:dyDescent="0.35">
      <c r="A3393" t="s">
        <v>12</v>
      </c>
      <c r="B3393" t="s">
        <v>177</v>
      </c>
    </row>
    <row r="3394" spans="1:6" x14ac:dyDescent="0.35">
      <c r="A3394" t="s">
        <v>24</v>
      </c>
    </row>
    <row r="3395" spans="1:6" x14ac:dyDescent="0.35">
      <c r="A3395" t="s">
        <v>18</v>
      </c>
    </row>
    <row r="3396" spans="1:6" x14ac:dyDescent="0.35">
      <c r="A3396" t="s">
        <v>6</v>
      </c>
    </row>
    <row r="3397" spans="1:6" x14ac:dyDescent="0.35">
      <c r="A3397" t="s">
        <v>4</v>
      </c>
    </row>
    <row r="3398" spans="1:6" x14ac:dyDescent="0.35">
      <c r="A3398" t="s">
        <v>56</v>
      </c>
      <c r="B3398" t="s">
        <v>57</v>
      </c>
    </row>
    <row r="3399" spans="1:6" x14ac:dyDescent="0.35">
      <c r="A3399" t="s">
        <v>12</v>
      </c>
    </row>
    <row r="3400" spans="1:6" x14ac:dyDescent="0.35">
      <c r="A3400" t="s">
        <v>50</v>
      </c>
      <c r="B3400" t="s">
        <v>51</v>
      </c>
      <c r="C3400" t="s">
        <v>52</v>
      </c>
      <c r="D3400" t="s">
        <v>63</v>
      </c>
    </row>
    <row r="3401" spans="1:6" x14ac:dyDescent="0.35">
      <c r="A3401" t="s">
        <v>64</v>
      </c>
      <c r="B3401" t="s">
        <v>65</v>
      </c>
      <c r="C3401" t="s">
        <v>66</v>
      </c>
      <c r="D3401" t="s">
        <v>18</v>
      </c>
      <c r="E3401" t="s">
        <v>67</v>
      </c>
      <c r="F3401" t="s">
        <v>68</v>
      </c>
    </row>
    <row r="3402" spans="1:6" x14ac:dyDescent="0.35">
      <c r="A3402" t="s">
        <v>7</v>
      </c>
    </row>
    <row r="3403" spans="1:6" x14ac:dyDescent="0.35">
      <c r="A3403" t="s">
        <v>50</v>
      </c>
      <c r="B3403" t="s">
        <v>51</v>
      </c>
      <c r="C3403" t="s">
        <v>52</v>
      </c>
      <c r="D3403" t="s">
        <v>63</v>
      </c>
    </row>
    <row r="3404" spans="1:6" x14ac:dyDescent="0.35">
      <c r="A3404" t="s">
        <v>64</v>
      </c>
      <c r="B3404" t="s">
        <v>65</v>
      </c>
      <c r="C3404" t="s">
        <v>66</v>
      </c>
      <c r="D3404" t="s">
        <v>18</v>
      </c>
      <c r="E3404" t="s">
        <v>67</v>
      </c>
      <c r="F3404" t="s">
        <v>68</v>
      </c>
    </row>
    <row r="3405" spans="1:6" x14ac:dyDescent="0.35">
      <c r="A3405" t="s">
        <v>64</v>
      </c>
      <c r="B3405" t="s">
        <v>18</v>
      </c>
    </row>
    <row r="3406" spans="1:6" x14ac:dyDescent="0.35">
      <c r="A3406" t="s">
        <v>1</v>
      </c>
    </row>
    <row r="3407" spans="1:6" x14ac:dyDescent="0.35">
      <c r="A3407" t="s">
        <v>3</v>
      </c>
    </row>
    <row r="3408" spans="1:6" x14ac:dyDescent="0.35">
      <c r="A3408" t="s">
        <v>100</v>
      </c>
      <c r="B3408" t="s">
        <v>101</v>
      </c>
      <c r="C3408" t="s">
        <v>102</v>
      </c>
    </row>
    <row r="3409" spans="1:3" x14ac:dyDescent="0.35">
      <c r="A3409" t="s">
        <v>12</v>
      </c>
    </row>
    <row r="3410" spans="1:3" x14ac:dyDescent="0.35">
      <c r="A3410" t="s">
        <v>7</v>
      </c>
    </row>
    <row r="3411" spans="1:3" x14ac:dyDescent="0.35">
      <c r="A3411" t="s">
        <v>20</v>
      </c>
    </row>
    <row r="3412" spans="1:3" x14ac:dyDescent="0.35">
      <c r="A3412" t="s">
        <v>109</v>
      </c>
      <c r="B3412" t="s">
        <v>110</v>
      </c>
      <c r="C3412" t="s">
        <v>111</v>
      </c>
    </row>
    <row r="3413" spans="1:3" x14ac:dyDescent="0.35">
      <c r="A3413" t="s">
        <v>96</v>
      </c>
      <c r="B3413" t="s">
        <v>18</v>
      </c>
    </row>
    <row r="3414" spans="1:3" x14ac:dyDescent="0.35">
      <c r="A3414" t="s">
        <v>10</v>
      </c>
    </row>
    <row r="3415" spans="1:3" x14ac:dyDescent="0.35">
      <c r="A3415" t="s">
        <v>6</v>
      </c>
    </row>
    <row r="3416" spans="1:3" x14ac:dyDescent="0.35">
      <c r="A3416" t="s">
        <v>1</v>
      </c>
      <c r="B3416" t="s">
        <v>87</v>
      </c>
      <c r="C3416" t="s">
        <v>192</v>
      </c>
    </row>
    <row r="3417" spans="1:3" x14ac:dyDescent="0.35">
      <c r="A3417" t="s">
        <v>8</v>
      </c>
    </row>
    <row r="3418" spans="1:3" x14ac:dyDescent="0.35">
      <c r="A3418" t="s">
        <v>162</v>
      </c>
      <c r="B3418" t="s">
        <v>124</v>
      </c>
    </row>
    <row r="3419" spans="1:3" x14ac:dyDescent="0.35">
      <c r="A3419" t="s">
        <v>7</v>
      </c>
    </row>
    <row r="3420" spans="1:3" x14ac:dyDescent="0.35">
      <c r="A3420" t="s">
        <v>10</v>
      </c>
    </row>
    <row r="3421" spans="1:3" x14ac:dyDescent="0.35">
      <c r="A3421" t="s">
        <v>56</v>
      </c>
      <c r="B3421" t="s">
        <v>57</v>
      </c>
    </row>
    <row r="3422" spans="1:3" x14ac:dyDescent="0.35">
      <c r="A3422" t="s">
        <v>3</v>
      </c>
    </row>
    <row r="3423" spans="1:3" x14ac:dyDescent="0.35">
      <c r="A3423" t="s">
        <v>1</v>
      </c>
      <c r="B3423" t="s">
        <v>87</v>
      </c>
      <c r="C3423" t="s">
        <v>186</v>
      </c>
    </row>
    <row r="3424" spans="1:3" x14ac:dyDescent="0.35">
      <c r="A3424" t="s">
        <v>18</v>
      </c>
      <c r="B3424" t="s">
        <v>160</v>
      </c>
    </row>
    <row r="3425" spans="1:7" x14ac:dyDescent="0.35">
      <c r="A3425" t="s">
        <v>56</v>
      </c>
      <c r="B3425" t="s">
        <v>57</v>
      </c>
      <c r="C3425" t="s">
        <v>132</v>
      </c>
      <c r="D3425" t="s">
        <v>99</v>
      </c>
    </row>
    <row r="3426" spans="1:7" x14ac:dyDescent="0.35">
      <c r="A3426" t="s">
        <v>50</v>
      </c>
      <c r="B3426" t="s">
        <v>51</v>
      </c>
      <c r="C3426" t="s">
        <v>52</v>
      </c>
      <c r="D3426" t="s">
        <v>61</v>
      </c>
    </row>
    <row r="3427" spans="1:7" x14ac:dyDescent="0.35">
      <c r="A3427" t="s">
        <v>105</v>
      </c>
      <c r="B3427" t="s">
        <v>14</v>
      </c>
    </row>
    <row r="3428" spans="1:7" x14ac:dyDescent="0.35">
      <c r="A3428" t="s">
        <v>50</v>
      </c>
      <c r="B3428" t="s">
        <v>51</v>
      </c>
      <c r="C3428" t="s">
        <v>52</v>
      </c>
    </row>
    <row r="3429" spans="1:7" x14ac:dyDescent="0.35">
      <c r="A3429" t="s">
        <v>126</v>
      </c>
      <c r="B3429" t="s">
        <v>127</v>
      </c>
    </row>
    <row r="3430" spans="1:7" x14ac:dyDescent="0.35">
      <c r="A3430" t="s">
        <v>11</v>
      </c>
    </row>
    <row r="3431" spans="1:7" x14ac:dyDescent="0.35">
      <c r="A3431" t="s">
        <v>50</v>
      </c>
      <c r="B3431" t="s">
        <v>70</v>
      </c>
      <c r="C3431" t="s">
        <v>51</v>
      </c>
      <c r="D3431" t="s">
        <v>52</v>
      </c>
      <c r="E3431" t="s">
        <v>63</v>
      </c>
      <c r="F3431" t="s">
        <v>71</v>
      </c>
    </row>
    <row r="3432" spans="1:7" x14ac:dyDescent="0.35">
      <c r="A3432" t="s">
        <v>50</v>
      </c>
      <c r="B3432" t="s">
        <v>51</v>
      </c>
      <c r="C3432" t="s">
        <v>82</v>
      </c>
      <c r="D3432" t="s">
        <v>52</v>
      </c>
      <c r="E3432" t="s">
        <v>77</v>
      </c>
      <c r="F3432" t="s">
        <v>83</v>
      </c>
      <c r="G3432" t="s">
        <v>84</v>
      </c>
    </row>
    <row r="3433" spans="1:7" x14ac:dyDescent="0.35">
      <c r="A3433" t="s">
        <v>56</v>
      </c>
      <c r="B3433" t="s">
        <v>57</v>
      </c>
    </row>
    <row r="3434" spans="1:7" x14ac:dyDescent="0.35">
      <c r="A3434" t="s">
        <v>7</v>
      </c>
    </row>
    <row r="3435" spans="1:7" x14ac:dyDescent="0.35">
      <c r="A3435" t="s">
        <v>3</v>
      </c>
    </row>
    <row r="3436" spans="1:7" x14ac:dyDescent="0.35">
      <c r="A3436" t="s">
        <v>50</v>
      </c>
      <c r="B3436" t="s">
        <v>51</v>
      </c>
      <c r="C3436" t="s">
        <v>52</v>
      </c>
      <c r="D3436" t="s">
        <v>63</v>
      </c>
    </row>
    <row r="3437" spans="1:7" x14ac:dyDescent="0.35">
      <c r="A3437" t="s">
        <v>3</v>
      </c>
    </row>
    <row r="3438" spans="1:7" x14ac:dyDescent="0.35">
      <c r="A3438" t="s">
        <v>50</v>
      </c>
      <c r="B3438" t="s">
        <v>51</v>
      </c>
      <c r="C3438" t="s">
        <v>82</v>
      </c>
      <c r="D3438" t="s">
        <v>52</v>
      </c>
      <c r="E3438" t="s">
        <v>77</v>
      </c>
      <c r="F3438" t="s">
        <v>83</v>
      </c>
      <c r="G3438" t="s">
        <v>84</v>
      </c>
    </row>
    <row r="3439" spans="1:7" x14ac:dyDescent="0.35">
      <c r="A3439" t="s">
        <v>96</v>
      </c>
      <c r="B3439" t="s">
        <v>18</v>
      </c>
    </row>
    <row r="3440" spans="1:7" x14ac:dyDescent="0.35">
      <c r="A3440" t="s">
        <v>18</v>
      </c>
      <c r="B3440" t="s">
        <v>160</v>
      </c>
    </row>
    <row r="3441" spans="1:6" x14ac:dyDescent="0.35">
      <c r="A3441" t="s">
        <v>64</v>
      </c>
      <c r="B3441" t="s">
        <v>65</v>
      </c>
      <c r="C3441" t="s">
        <v>66</v>
      </c>
      <c r="D3441" t="s">
        <v>18</v>
      </c>
      <c r="E3441" t="s">
        <v>67</v>
      </c>
      <c r="F3441" t="s">
        <v>68</v>
      </c>
    </row>
    <row r="3442" spans="1:6" x14ac:dyDescent="0.35">
      <c r="A3442" t="s">
        <v>7</v>
      </c>
    </row>
    <row r="3443" spans="1:6" x14ac:dyDescent="0.35">
      <c r="A3443" t="s">
        <v>8</v>
      </c>
    </row>
    <row r="3444" spans="1:6" x14ac:dyDescent="0.35">
      <c r="A3444" t="s">
        <v>1</v>
      </c>
    </row>
    <row r="3445" spans="1:6" x14ac:dyDescent="0.35">
      <c r="A3445" t="s">
        <v>18</v>
      </c>
      <c r="B3445" t="s">
        <v>130</v>
      </c>
    </row>
    <row r="3446" spans="1:6" x14ac:dyDescent="0.35">
      <c r="A3446" t="s">
        <v>9</v>
      </c>
    </row>
    <row r="3447" spans="1:6" x14ac:dyDescent="0.35">
      <c r="A3447" t="s">
        <v>1</v>
      </c>
    </row>
    <row r="3448" spans="1:6" x14ac:dyDescent="0.35">
      <c r="A3448" t="s">
        <v>96</v>
      </c>
      <c r="B3448" t="s">
        <v>18</v>
      </c>
    </row>
    <row r="3449" spans="1:6" x14ac:dyDescent="0.35">
      <c r="A3449" t="s">
        <v>50</v>
      </c>
      <c r="B3449" t="s">
        <v>51</v>
      </c>
      <c r="C3449" t="s">
        <v>52</v>
      </c>
      <c r="D3449" t="s">
        <v>63</v>
      </c>
    </row>
    <row r="3450" spans="1:6" x14ac:dyDescent="0.35">
      <c r="A3450" t="s">
        <v>24</v>
      </c>
    </row>
    <row r="3451" spans="1:6" x14ac:dyDescent="0.35">
      <c r="A3451" t="s">
        <v>96</v>
      </c>
      <c r="B3451" t="s">
        <v>18</v>
      </c>
    </row>
    <row r="3452" spans="1:6" x14ac:dyDescent="0.35">
      <c r="A3452" t="s">
        <v>10</v>
      </c>
    </row>
    <row r="3453" spans="1:6" x14ac:dyDescent="0.35">
      <c r="A3453" t="s">
        <v>12</v>
      </c>
    </row>
    <row r="3454" spans="1:6" x14ac:dyDescent="0.35">
      <c r="A3454" t="s">
        <v>17</v>
      </c>
    </row>
    <row r="3455" spans="1:6" x14ac:dyDescent="0.35">
      <c r="A3455" t="s">
        <v>3</v>
      </c>
    </row>
    <row r="3456" spans="1:6" x14ac:dyDescent="0.35">
      <c r="A3456" t="s">
        <v>50</v>
      </c>
      <c r="B3456" t="s">
        <v>51</v>
      </c>
      <c r="C3456" t="s">
        <v>52</v>
      </c>
      <c r="D3456" t="s">
        <v>77</v>
      </c>
      <c r="E3456" t="s">
        <v>116</v>
      </c>
    </row>
    <row r="3457" spans="1:6" x14ac:dyDescent="0.35">
      <c r="A3457" t="s">
        <v>12</v>
      </c>
    </row>
    <row r="3458" spans="1:6" x14ac:dyDescent="0.35">
      <c r="A3458" t="s">
        <v>96</v>
      </c>
      <c r="B3458" t="s">
        <v>18</v>
      </c>
    </row>
    <row r="3459" spans="1:6" x14ac:dyDescent="0.35">
      <c r="A3459" t="s">
        <v>15</v>
      </c>
    </row>
    <row r="3460" spans="1:6" x14ac:dyDescent="0.35">
      <c r="A3460" t="s">
        <v>21</v>
      </c>
    </row>
    <row r="3461" spans="1:6" x14ac:dyDescent="0.35">
      <c r="A3461" t="s">
        <v>50</v>
      </c>
      <c r="B3461" t="s">
        <v>51</v>
      </c>
      <c r="C3461" t="s">
        <v>52</v>
      </c>
    </row>
    <row r="3462" spans="1:6" x14ac:dyDescent="0.35">
      <c r="A3462" t="s">
        <v>195</v>
      </c>
      <c r="B3462" t="s">
        <v>1</v>
      </c>
    </row>
    <row r="3463" spans="1:6" x14ac:dyDescent="0.35">
      <c r="A3463" t="s">
        <v>19</v>
      </c>
    </row>
    <row r="3464" spans="1:6" x14ac:dyDescent="0.35">
      <c r="A3464" t="s">
        <v>37</v>
      </c>
    </row>
    <row r="3465" spans="1:6" x14ac:dyDescent="0.35">
      <c r="A3465" t="s">
        <v>1</v>
      </c>
      <c r="B3465" t="s">
        <v>251</v>
      </c>
    </row>
    <row r="3466" spans="1:6" x14ac:dyDescent="0.35">
      <c r="A3466" t="s">
        <v>121</v>
      </c>
      <c r="B3466" t="s">
        <v>122</v>
      </c>
    </row>
    <row r="3467" spans="1:6" x14ac:dyDescent="0.35">
      <c r="A3467" t="s">
        <v>7</v>
      </c>
    </row>
    <row r="3468" spans="1:6" x14ac:dyDescent="0.35">
      <c r="A3468" t="s">
        <v>12</v>
      </c>
    </row>
    <row r="3469" spans="1:6" x14ac:dyDescent="0.35">
      <c r="A3469" t="s">
        <v>12</v>
      </c>
    </row>
    <row r="3470" spans="1:6" x14ac:dyDescent="0.35">
      <c r="A3470" t="s">
        <v>96</v>
      </c>
      <c r="B3470" t="s">
        <v>176</v>
      </c>
      <c r="C3470" t="s">
        <v>66</v>
      </c>
      <c r="D3470" t="s">
        <v>18</v>
      </c>
      <c r="E3470" t="s">
        <v>67</v>
      </c>
      <c r="F3470" t="s">
        <v>68</v>
      </c>
    </row>
    <row r="3471" spans="1:6" x14ac:dyDescent="0.35">
      <c r="A3471" t="s">
        <v>105</v>
      </c>
      <c r="B3471" t="s">
        <v>14</v>
      </c>
    </row>
    <row r="3472" spans="1:6" x14ac:dyDescent="0.35">
      <c r="A3472" t="s">
        <v>1</v>
      </c>
    </row>
    <row r="3473" spans="1:7" x14ac:dyDescent="0.35">
      <c r="A3473" t="s">
        <v>1</v>
      </c>
      <c r="B3473" t="s">
        <v>87</v>
      </c>
      <c r="C3473" t="s">
        <v>204</v>
      </c>
    </row>
    <row r="3474" spans="1:7" x14ac:dyDescent="0.35">
      <c r="A3474" t="s">
        <v>50</v>
      </c>
      <c r="B3474" t="s">
        <v>51</v>
      </c>
      <c r="C3474" t="s">
        <v>82</v>
      </c>
      <c r="D3474" t="s">
        <v>52</v>
      </c>
      <c r="E3474" t="s">
        <v>77</v>
      </c>
      <c r="F3474" t="s">
        <v>83</v>
      </c>
      <c r="G3474" t="s">
        <v>84</v>
      </c>
    </row>
    <row r="3475" spans="1:7" x14ac:dyDescent="0.35">
      <c r="A3475" t="s">
        <v>7</v>
      </c>
    </row>
    <row r="3476" spans="1:7" x14ac:dyDescent="0.35">
      <c r="A3476" t="s">
        <v>108</v>
      </c>
      <c r="B3476" t="s">
        <v>11</v>
      </c>
    </row>
    <row r="3477" spans="1:7" x14ac:dyDescent="0.35">
      <c r="A3477" t="s">
        <v>29</v>
      </c>
      <c r="B3477" t="s">
        <v>207</v>
      </c>
      <c r="C3477" t="s">
        <v>167</v>
      </c>
      <c r="D3477" t="s">
        <v>208</v>
      </c>
      <c r="E3477" t="s">
        <v>168</v>
      </c>
      <c r="F3477" t="s">
        <v>209</v>
      </c>
    </row>
    <row r="3478" spans="1:7" x14ac:dyDescent="0.35">
      <c r="A3478" t="s">
        <v>8</v>
      </c>
    </row>
    <row r="3479" spans="1:7" x14ac:dyDescent="0.35">
      <c r="A3479" t="s">
        <v>1</v>
      </c>
    </row>
    <row r="3480" spans="1:7" x14ac:dyDescent="0.35">
      <c r="A3480" t="s">
        <v>18</v>
      </c>
    </row>
    <row r="3481" spans="1:7" x14ac:dyDescent="0.35">
      <c r="A3481" t="s">
        <v>6</v>
      </c>
    </row>
    <row r="3482" spans="1:7" x14ac:dyDescent="0.35">
      <c r="A3482" t="s">
        <v>11</v>
      </c>
    </row>
    <row r="3483" spans="1:7" x14ac:dyDescent="0.35">
      <c r="A3483" t="s">
        <v>7</v>
      </c>
    </row>
    <row r="3484" spans="1:7" x14ac:dyDescent="0.35">
      <c r="A3484" t="s">
        <v>252</v>
      </c>
      <c r="B3484" t="s">
        <v>18</v>
      </c>
    </row>
    <row r="3485" spans="1:7" x14ac:dyDescent="0.35">
      <c r="A3485" t="s">
        <v>93</v>
      </c>
      <c r="B3485" t="s">
        <v>50</v>
      </c>
      <c r="C3485" t="s">
        <v>51</v>
      </c>
      <c r="D3485" t="s">
        <v>52</v>
      </c>
      <c r="E3485" t="s">
        <v>94</v>
      </c>
      <c r="F3485" t="s">
        <v>77</v>
      </c>
      <c r="G3485" t="s">
        <v>95</v>
      </c>
    </row>
    <row r="3486" spans="1:7" x14ac:dyDescent="0.35">
      <c r="A3486" t="s">
        <v>16</v>
      </c>
    </row>
    <row r="3487" spans="1:7" x14ac:dyDescent="0.35">
      <c r="A3487" t="s">
        <v>1</v>
      </c>
    </row>
    <row r="3488" spans="1:7" x14ac:dyDescent="0.35">
      <c r="A3488" t="s">
        <v>93</v>
      </c>
      <c r="B3488" t="s">
        <v>50</v>
      </c>
      <c r="C3488" t="s">
        <v>51</v>
      </c>
      <c r="D3488" t="s">
        <v>52</v>
      </c>
      <c r="E3488" t="s">
        <v>94</v>
      </c>
      <c r="F3488" t="s">
        <v>77</v>
      </c>
      <c r="G3488" t="s">
        <v>95</v>
      </c>
    </row>
    <row r="3489" spans="1:9" x14ac:dyDescent="0.35">
      <c r="A3489" t="s">
        <v>148</v>
      </c>
      <c r="B3489" t="s">
        <v>18</v>
      </c>
    </row>
    <row r="3490" spans="1:9" x14ac:dyDescent="0.35">
      <c r="A3490" t="s">
        <v>138</v>
      </c>
      <c r="B3490" t="s">
        <v>139</v>
      </c>
      <c r="C3490" t="s">
        <v>140</v>
      </c>
      <c r="D3490" t="s">
        <v>141</v>
      </c>
      <c r="E3490" t="s">
        <v>142</v>
      </c>
      <c r="F3490" t="s">
        <v>124</v>
      </c>
      <c r="G3490" t="s">
        <v>143</v>
      </c>
      <c r="H3490" t="s">
        <v>253</v>
      </c>
      <c r="I3490" t="s">
        <v>145</v>
      </c>
    </row>
    <row r="3491" spans="1:9" x14ac:dyDescent="0.35">
      <c r="A3491" t="s">
        <v>50</v>
      </c>
      <c r="B3491" t="s">
        <v>51</v>
      </c>
      <c r="C3491" t="s">
        <v>52</v>
      </c>
      <c r="D3491" t="s">
        <v>63</v>
      </c>
    </row>
    <row r="3492" spans="1:9" x14ac:dyDescent="0.35">
      <c r="A3492" t="s">
        <v>81</v>
      </c>
      <c r="B3492" t="s">
        <v>11</v>
      </c>
    </row>
    <row r="3493" spans="1:9" x14ac:dyDescent="0.35">
      <c r="A3493" t="s">
        <v>64</v>
      </c>
      <c r="B3493" t="s">
        <v>65</v>
      </c>
      <c r="C3493" t="s">
        <v>18</v>
      </c>
    </row>
    <row r="3494" spans="1:9" x14ac:dyDescent="0.35">
      <c r="A3494" t="s">
        <v>96</v>
      </c>
      <c r="B3494" t="s">
        <v>18</v>
      </c>
    </row>
    <row r="3495" spans="1:9" x14ac:dyDescent="0.35">
      <c r="A3495" t="s">
        <v>64</v>
      </c>
      <c r="B3495" t="s">
        <v>65</v>
      </c>
      <c r="C3495" t="s">
        <v>158</v>
      </c>
      <c r="D3495" t="s">
        <v>66</v>
      </c>
      <c r="E3495" t="s">
        <v>18</v>
      </c>
      <c r="F3495" t="s">
        <v>67</v>
      </c>
      <c r="G3495" t="s">
        <v>68</v>
      </c>
    </row>
    <row r="3496" spans="1:9" x14ac:dyDescent="0.35">
      <c r="A3496" t="s">
        <v>96</v>
      </c>
      <c r="B3496" t="s">
        <v>18</v>
      </c>
    </row>
    <row r="3497" spans="1:9" x14ac:dyDescent="0.35">
      <c r="A3497" t="s">
        <v>9</v>
      </c>
    </row>
    <row r="3498" spans="1:9" x14ac:dyDescent="0.35">
      <c r="A3498" t="s">
        <v>93</v>
      </c>
      <c r="B3498" t="s">
        <v>50</v>
      </c>
      <c r="C3498" t="s">
        <v>51</v>
      </c>
      <c r="D3498" t="s">
        <v>52</v>
      </c>
      <c r="E3498" t="s">
        <v>94</v>
      </c>
      <c r="F3498" t="s">
        <v>77</v>
      </c>
      <c r="G3498" t="s">
        <v>95</v>
      </c>
    </row>
    <row r="3499" spans="1:9" x14ac:dyDescent="0.35">
      <c r="A3499" t="s">
        <v>162</v>
      </c>
      <c r="B3499" t="s">
        <v>254</v>
      </c>
      <c r="C3499" t="s">
        <v>164</v>
      </c>
      <c r="D3499" t="s">
        <v>124</v>
      </c>
    </row>
    <row r="3500" spans="1:9" x14ac:dyDescent="0.35">
      <c r="A3500" t="s">
        <v>64</v>
      </c>
      <c r="B3500" t="s">
        <v>65</v>
      </c>
      <c r="C3500" t="s">
        <v>66</v>
      </c>
      <c r="D3500" t="s">
        <v>18</v>
      </c>
      <c r="E3500" t="s">
        <v>67</v>
      </c>
      <c r="F3500" t="s">
        <v>68</v>
      </c>
    </row>
    <row r="3501" spans="1:9" x14ac:dyDescent="0.35">
      <c r="A3501" t="s">
        <v>64</v>
      </c>
      <c r="B3501" t="s">
        <v>65</v>
      </c>
      <c r="C3501" t="s">
        <v>255</v>
      </c>
      <c r="D3501" t="s">
        <v>66</v>
      </c>
      <c r="E3501" t="s">
        <v>18</v>
      </c>
      <c r="F3501" t="s">
        <v>67</v>
      </c>
      <c r="G3501" t="s">
        <v>68</v>
      </c>
    </row>
    <row r="3502" spans="1:9" x14ac:dyDescent="0.35">
      <c r="A3502" t="s">
        <v>79</v>
      </c>
      <c r="B3502" t="s">
        <v>50</v>
      </c>
      <c r="C3502" t="s">
        <v>51</v>
      </c>
      <c r="D3502" t="s">
        <v>52</v>
      </c>
      <c r="E3502" t="s">
        <v>80</v>
      </c>
    </row>
    <row r="3503" spans="1:9" x14ac:dyDescent="0.35">
      <c r="A3503" t="s">
        <v>12</v>
      </c>
    </row>
    <row r="3504" spans="1:9" x14ac:dyDescent="0.35">
      <c r="A3504" t="s">
        <v>18</v>
      </c>
      <c r="B3504" t="s">
        <v>160</v>
      </c>
    </row>
    <row r="3505" spans="1:7" x14ac:dyDescent="0.35">
      <c r="A3505" t="s">
        <v>56</v>
      </c>
      <c r="B3505" t="s">
        <v>57</v>
      </c>
    </row>
    <row r="3506" spans="1:7" x14ac:dyDescent="0.35">
      <c r="A3506" t="s">
        <v>64</v>
      </c>
      <c r="B3506" t="s">
        <v>65</v>
      </c>
      <c r="C3506" t="s">
        <v>18</v>
      </c>
    </row>
    <row r="3507" spans="1:7" x14ac:dyDescent="0.35">
      <c r="A3507" t="s">
        <v>10</v>
      </c>
    </row>
    <row r="3508" spans="1:7" x14ac:dyDescent="0.35">
      <c r="A3508" t="s">
        <v>18</v>
      </c>
      <c r="B3508" t="s">
        <v>130</v>
      </c>
    </row>
    <row r="3509" spans="1:7" x14ac:dyDescent="0.35">
      <c r="A3509" t="s">
        <v>64</v>
      </c>
      <c r="B3509" t="s">
        <v>65</v>
      </c>
      <c r="C3509" t="s">
        <v>66</v>
      </c>
      <c r="D3509" t="s">
        <v>18</v>
      </c>
      <c r="E3509" t="s">
        <v>67</v>
      </c>
      <c r="F3509" t="s">
        <v>68</v>
      </c>
    </row>
    <row r="3510" spans="1:7" x14ac:dyDescent="0.35">
      <c r="A3510" t="s">
        <v>10</v>
      </c>
    </row>
    <row r="3511" spans="1:7" x14ac:dyDescent="0.35">
      <c r="A3511" t="s">
        <v>1</v>
      </c>
      <c r="B3511" t="s">
        <v>87</v>
      </c>
      <c r="C3511" t="s">
        <v>128</v>
      </c>
    </row>
    <row r="3512" spans="1:7" x14ac:dyDescent="0.35">
      <c r="A3512" t="s">
        <v>166</v>
      </c>
      <c r="B3512" t="s">
        <v>167</v>
      </c>
      <c r="C3512" t="s">
        <v>168</v>
      </c>
      <c r="D3512" t="s">
        <v>169</v>
      </c>
    </row>
    <row r="3513" spans="1:7" x14ac:dyDescent="0.35">
      <c r="A3513" t="s">
        <v>1</v>
      </c>
      <c r="B3513" t="s">
        <v>87</v>
      </c>
      <c r="C3513" t="s">
        <v>120</v>
      </c>
    </row>
    <row r="3514" spans="1:7" x14ac:dyDescent="0.35">
      <c r="A3514" t="s">
        <v>64</v>
      </c>
      <c r="B3514" t="s">
        <v>65</v>
      </c>
      <c r="C3514" t="s">
        <v>66</v>
      </c>
      <c r="D3514" t="s">
        <v>18</v>
      </c>
      <c r="E3514" t="s">
        <v>67</v>
      </c>
      <c r="F3514" t="s">
        <v>68</v>
      </c>
    </row>
    <row r="3515" spans="1:7" x14ac:dyDescent="0.35">
      <c r="A3515" t="s">
        <v>93</v>
      </c>
      <c r="B3515" t="s">
        <v>50</v>
      </c>
      <c r="C3515" t="s">
        <v>51</v>
      </c>
      <c r="D3515" t="s">
        <v>52</v>
      </c>
      <c r="E3515" t="s">
        <v>94</v>
      </c>
      <c r="F3515" t="s">
        <v>77</v>
      </c>
      <c r="G3515" t="s">
        <v>95</v>
      </c>
    </row>
    <row r="3516" spans="1:7" x14ac:dyDescent="0.35">
      <c r="A3516" t="s">
        <v>7</v>
      </c>
    </row>
    <row r="3517" spans="1:7" x14ac:dyDescent="0.35">
      <c r="A3517" t="s">
        <v>17</v>
      </c>
    </row>
    <row r="3518" spans="1:7" x14ac:dyDescent="0.35">
      <c r="A3518" t="s">
        <v>64</v>
      </c>
      <c r="B3518" t="s">
        <v>65</v>
      </c>
      <c r="C3518" t="s">
        <v>66</v>
      </c>
      <c r="D3518" t="s">
        <v>18</v>
      </c>
      <c r="E3518" t="s">
        <v>67</v>
      </c>
      <c r="F3518" t="s">
        <v>68</v>
      </c>
    </row>
    <row r="3519" spans="1:7" x14ac:dyDescent="0.35">
      <c r="A3519" t="s">
        <v>7</v>
      </c>
    </row>
    <row r="3520" spans="1:7" x14ac:dyDescent="0.35">
      <c r="A3520" t="s">
        <v>1</v>
      </c>
    </row>
    <row r="3521" spans="1:7" x14ac:dyDescent="0.35">
      <c r="A3521" t="s">
        <v>64</v>
      </c>
      <c r="B3521" t="s">
        <v>65</v>
      </c>
      <c r="C3521" t="s">
        <v>158</v>
      </c>
      <c r="D3521" t="s">
        <v>66</v>
      </c>
      <c r="E3521" t="s">
        <v>18</v>
      </c>
      <c r="F3521" t="s">
        <v>67</v>
      </c>
      <c r="G3521" t="s">
        <v>68</v>
      </c>
    </row>
    <row r="3522" spans="1:7" x14ac:dyDescent="0.35">
      <c r="A3522" t="s">
        <v>50</v>
      </c>
      <c r="B3522" t="s">
        <v>51</v>
      </c>
      <c r="C3522" t="s">
        <v>52</v>
      </c>
      <c r="D3522" t="s">
        <v>63</v>
      </c>
    </row>
    <row r="3523" spans="1:7" x14ac:dyDescent="0.35">
      <c r="A3523" t="s">
        <v>165</v>
      </c>
      <c r="B3523" t="s">
        <v>1</v>
      </c>
    </row>
    <row r="3524" spans="1:7" x14ac:dyDescent="0.35">
      <c r="A3524" t="s">
        <v>11</v>
      </c>
    </row>
    <row r="3525" spans="1:7" x14ac:dyDescent="0.35">
      <c r="A3525" t="s">
        <v>7</v>
      </c>
    </row>
    <row r="3526" spans="1:7" x14ac:dyDescent="0.35">
      <c r="A3526" t="s">
        <v>50</v>
      </c>
      <c r="B3526" t="s">
        <v>51</v>
      </c>
      <c r="C3526" t="s">
        <v>52</v>
      </c>
    </row>
    <row r="3527" spans="1:7" x14ac:dyDescent="0.35">
      <c r="A3527" t="s">
        <v>9</v>
      </c>
    </row>
    <row r="3528" spans="1:7" x14ac:dyDescent="0.35">
      <c r="A3528" t="s">
        <v>162</v>
      </c>
      <c r="B3528" t="s">
        <v>124</v>
      </c>
    </row>
    <row r="3529" spans="1:7" x14ac:dyDescent="0.35">
      <c r="A3529" t="s">
        <v>50</v>
      </c>
      <c r="B3529" t="s">
        <v>51</v>
      </c>
      <c r="C3529" t="s">
        <v>52</v>
      </c>
      <c r="D3529" t="s">
        <v>63</v>
      </c>
    </row>
    <row r="3530" spans="1:7" x14ac:dyDescent="0.35">
      <c r="A3530" t="s">
        <v>126</v>
      </c>
      <c r="B3530" t="s">
        <v>127</v>
      </c>
    </row>
    <row r="3531" spans="1:7" x14ac:dyDescent="0.35">
      <c r="A3531" t="s">
        <v>50</v>
      </c>
      <c r="B3531" t="s">
        <v>51</v>
      </c>
      <c r="C3531" t="s">
        <v>52</v>
      </c>
    </row>
    <row r="3532" spans="1:7" x14ac:dyDescent="0.35">
      <c r="A3532" t="s">
        <v>100</v>
      </c>
      <c r="B3532" t="s">
        <v>101</v>
      </c>
      <c r="C3532" t="s">
        <v>102</v>
      </c>
    </row>
    <row r="3533" spans="1:7" x14ac:dyDescent="0.35">
      <c r="A3533" t="s">
        <v>3</v>
      </c>
    </row>
    <row r="3534" spans="1:7" x14ac:dyDescent="0.35">
      <c r="A3534" t="s">
        <v>11</v>
      </c>
    </row>
    <row r="3535" spans="1:7" x14ac:dyDescent="0.35">
      <c r="A3535" t="s">
        <v>162</v>
      </c>
      <c r="B3535" t="s">
        <v>124</v>
      </c>
    </row>
    <row r="3536" spans="1:7" x14ac:dyDescent="0.35">
      <c r="A3536" t="s">
        <v>10</v>
      </c>
    </row>
    <row r="3537" spans="1:7" x14ac:dyDescent="0.35">
      <c r="A3537" t="s">
        <v>93</v>
      </c>
      <c r="B3537" t="s">
        <v>50</v>
      </c>
      <c r="C3537" t="s">
        <v>51</v>
      </c>
      <c r="D3537" t="s">
        <v>52</v>
      </c>
      <c r="E3537" t="s">
        <v>94</v>
      </c>
      <c r="F3537" t="s">
        <v>77</v>
      </c>
      <c r="G3537" t="s">
        <v>95</v>
      </c>
    </row>
    <row r="3538" spans="1:7" x14ac:dyDescent="0.35">
      <c r="A3538" t="s">
        <v>1</v>
      </c>
      <c r="B3538" t="s">
        <v>87</v>
      </c>
      <c r="C3538" t="s">
        <v>188</v>
      </c>
    </row>
    <row r="3539" spans="1:7" x14ac:dyDescent="0.35">
      <c r="A3539" t="s">
        <v>64</v>
      </c>
      <c r="B3539" t="s">
        <v>66</v>
      </c>
      <c r="C3539" t="s">
        <v>18</v>
      </c>
      <c r="D3539" t="s">
        <v>67</v>
      </c>
      <c r="E3539" t="s">
        <v>68</v>
      </c>
    </row>
    <row r="3540" spans="1:7" x14ac:dyDescent="0.35">
      <c r="A3540" t="s">
        <v>100</v>
      </c>
      <c r="B3540" t="s">
        <v>101</v>
      </c>
      <c r="C3540" t="s">
        <v>102</v>
      </c>
    </row>
    <row r="3541" spans="1:7" x14ac:dyDescent="0.35">
      <c r="A3541" t="s">
        <v>10</v>
      </c>
    </row>
    <row r="3542" spans="1:7" x14ac:dyDescent="0.35">
      <c r="A3542" t="s">
        <v>18</v>
      </c>
      <c r="B3542" t="s">
        <v>225</v>
      </c>
    </row>
    <row r="3543" spans="1:7" x14ac:dyDescent="0.35">
      <c r="A3543" t="s">
        <v>56</v>
      </c>
      <c r="B3543" t="s">
        <v>57</v>
      </c>
    </row>
    <row r="3544" spans="1:7" x14ac:dyDescent="0.35">
      <c r="A3544" t="s">
        <v>64</v>
      </c>
      <c r="B3544" t="s">
        <v>65</v>
      </c>
      <c r="C3544" t="s">
        <v>158</v>
      </c>
      <c r="D3544" t="s">
        <v>66</v>
      </c>
      <c r="E3544" t="s">
        <v>18</v>
      </c>
      <c r="F3544" t="s">
        <v>67</v>
      </c>
      <c r="G3544" t="s">
        <v>68</v>
      </c>
    </row>
    <row r="3545" spans="1:7" x14ac:dyDescent="0.35">
      <c r="A3545" t="s">
        <v>1</v>
      </c>
    </row>
    <row r="3546" spans="1:7" x14ac:dyDescent="0.35">
      <c r="A3546" t="s">
        <v>195</v>
      </c>
      <c r="B3546" t="s">
        <v>1</v>
      </c>
    </row>
    <row r="3547" spans="1:7" x14ac:dyDescent="0.35">
      <c r="A3547" t="s">
        <v>29</v>
      </c>
      <c r="B3547" t="s">
        <v>207</v>
      </c>
      <c r="C3547" t="s">
        <v>167</v>
      </c>
      <c r="D3547" t="s">
        <v>208</v>
      </c>
      <c r="E3547" t="s">
        <v>168</v>
      </c>
      <c r="F3547" t="s">
        <v>209</v>
      </c>
    </row>
    <row r="3548" spans="1:7" x14ac:dyDescent="0.35">
      <c r="A3548" t="s">
        <v>81</v>
      </c>
      <c r="B3548" t="s">
        <v>11</v>
      </c>
    </row>
    <row r="3549" spans="1:7" x14ac:dyDescent="0.35">
      <c r="A3549" t="s">
        <v>50</v>
      </c>
      <c r="B3549" t="s">
        <v>51</v>
      </c>
      <c r="C3549" t="s">
        <v>52</v>
      </c>
      <c r="D3549" t="s">
        <v>63</v>
      </c>
    </row>
    <row r="3550" spans="1:7" x14ac:dyDescent="0.35">
      <c r="A3550" t="s">
        <v>1</v>
      </c>
      <c r="B3550" t="s">
        <v>134</v>
      </c>
    </row>
    <row r="3551" spans="1:7" x14ac:dyDescent="0.35">
      <c r="A3551" t="s">
        <v>115</v>
      </c>
      <c r="B3551" t="s">
        <v>11</v>
      </c>
    </row>
    <row r="3552" spans="1:7" x14ac:dyDescent="0.35">
      <c r="A3552" t="s">
        <v>8</v>
      </c>
    </row>
    <row r="3553" spans="1:7" x14ac:dyDescent="0.35">
      <c r="A3553" t="s">
        <v>17</v>
      </c>
    </row>
    <row r="3554" spans="1:7" x14ac:dyDescent="0.35">
      <c r="A3554" t="s">
        <v>121</v>
      </c>
      <c r="B3554" t="s">
        <v>256</v>
      </c>
    </row>
    <row r="3555" spans="1:7" x14ac:dyDescent="0.35">
      <c r="A3555" t="s">
        <v>18</v>
      </c>
      <c r="B3555" t="s">
        <v>130</v>
      </c>
    </row>
    <row r="3556" spans="1:7" x14ac:dyDescent="0.35">
      <c r="A3556" t="s">
        <v>17</v>
      </c>
    </row>
    <row r="3557" spans="1:7" x14ac:dyDescent="0.35">
      <c r="A3557" t="s">
        <v>96</v>
      </c>
      <c r="B3557" t="s">
        <v>18</v>
      </c>
    </row>
    <row r="3558" spans="1:7" x14ac:dyDescent="0.35">
      <c r="A3558" t="s">
        <v>18</v>
      </c>
      <c r="B3558" t="s">
        <v>130</v>
      </c>
    </row>
    <row r="3559" spans="1:7" x14ac:dyDescent="0.35">
      <c r="A3559" t="s">
        <v>1</v>
      </c>
      <c r="B3559" t="s">
        <v>87</v>
      </c>
      <c r="C3559" t="s">
        <v>201</v>
      </c>
    </row>
    <row r="3560" spans="1:7" x14ac:dyDescent="0.35">
      <c r="A3560" t="s">
        <v>159</v>
      </c>
      <c r="B3560" t="s">
        <v>11</v>
      </c>
    </row>
    <row r="3561" spans="1:7" x14ac:dyDescent="0.35">
      <c r="A3561" t="s">
        <v>3</v>
      </c>
    </row>
    <row r="3562" spans="1:7" x14ac:dyDescent="0.35">
      <c r="A3562" t="s">
        <v>10</v>
      </c>
    </row>
    <row r="3563" spans="1:7" x14ac:dyDescent="0.35">
      <c r="A3563" t="s">
        <v>18</v>
      </c>
    </row>
    <row r="3564" spans="1:7" x14ac:dyDescent="0.35">
      <c r="A3564" t="s">
        <v>50</v>
      </c>
      <c r="B3564" t="s">
        <v>51</v>
      </c>
      <c r="C3564" t="s">
        <v>52</v>
      </c>
      <c r="D3564" t="s">
        <v>63</v>
      </c>
    </row>
    <row r="3565" spans="1:7" x14ac:dyDescent="0.35">
      <c r="A3565" t="s">
        <v>155</v>
      </c>
      <c r="B3565" t="s">
        <v>156</v>
      </c>
      <c r="C3565" t="s">
        <v>157</v>
      </c>
    </row>
    <row r="3566" spans="1:7" x14ac:dyDescent="0.35">
      <c r="A3566" t="s">
        <v>8</v>
      </c>
    </row>
    <row r="3567" spans="1:7" x14ac:dyDescent="0.35">
      <c r="A3567" t="s">
        <v>64</v>
      </c>
      <c r="B3567" t="s">
        <v>65</v>
      </c>
      <c r="C3567" t="s">
        <v>66</v>
      </c>
      <c r="D3567" t="s">
        <v>18</v>
      </c>
      <c r="E3567" t="s">
        <v>67</v>
      </c>
      <c r="F3567" t="s">
        <v>68</v>
      </c>
    </row>
    <row r="3568" spans="1:7" x14ac:dyDescent="0.35">
      <c r="A3568" t="s">
        <v>50</v>
      </c>
      <c r="B3568" t="s">
        <v>51</v>
      </c>
      <c r="C3568" t="s">
        <v>82</v>
      </c>
      <c r="D3568" t="s">
        <v>52</v>
      </c>
      <c r="E3568" t="s">
        <v>77</v>
      </c>
      <c r="F3568" t="s">
        <v>83</v>
      </c>
      <c r="G3568" t="s">
        <v>84</v>
      </c>
    </row>
    <row r="3569" spans="1:9" x14ac:dyDescent="0.35">
      <c r="A3569" t="s">
        <v>17</v>
      </c>
    </row>
    <row r="3570" spans="1:9" x14ac:dyDescent="0.35">
      <c r="A3570" t="s">
        <v>8</v>
      </c>
    </row>
    <row r="3571" spans="1:9" x14ac:dyDescent="0.35">
      <c r="A3571" t="s">
        <v>109</v>
      </c>
      <c r="B3571" t="s">
        <v>110</v>
      </c>
      <c r="C3571" t="s">
        <v>111</v>
      </c>
    </row>
    <row r="3572" spans="1:9" x14ac:dyDescent="0.35">
      <c r="A3572" t="s">
        <v>8</v>
      </c>
    </row>
    <row r="3573" spans="1:9" x14ac:dyDescent="0.35">
      <c r="A3573" t="s">
        <v>64</v>
      </c>
      <c r="B3573" t="s">
        <v>65</v>
      </c>
      <c r="C3573" t="s">
        <v>66</v>
      </c>
      <c r="D3573" t="s">
        <v>18</v>
      </c>
      <c r="E3573" t="s">
        <v>67</v>
      </c>
      <c r="F3573" t="s">
        <v>68</v>
      </c>
    </row>
    <row r="3574" spans="1:9" x14ac:dyDescent="0.35">
      <c r="A3574" t="s">
        <v>1</v>
      </c>
      <c r="B3574" t="s">
        <v>87</v>
      </c>
      <c r="C3574" t="s">
        <v>201</v>
      </c>
    </row>
    <row r="3575" spans="1:9" x14ac:dyDescent="0.35">
      <c r="A3575" t="s">
        <v>159</v>
      </c>
      <c r="B3575" t="s">
        <v>11</v>
      </c>
    </row>
    <row r="3576" spans="1:9" x14ac:dyDescent="0.35">
      <c r="A3576" t="s">
        <v>7</v>
      </c>
    </row>
    <row r="3577" spans="1:9" x14ac:dyDescent="0.35">
      <c r="A3577" t="s">
        <v>50</v>
      </c>
      <c r="B3577" t="s">
        <v>51</v>
      </c>
      <c r="C3577" t="s">
        <v>52</v>
      </c>
      <c r="D3577" t="s">
        <v>60</v>
      </c>
      <c r="E3577" t="s">
        <v>61</v>
      </c>
    </row>
    <row r="3578" spans="1:9" x14ac:dyDescent="0.35">
      <c r="A3578" t="s">
        <v>24</v>
      </c>
    </row>
    <row r="3579" spans="1:9" x14ac:dyDescent="0.35">
      <c r="A3579" t="s">
        <v>100</v>
      </c>
      <c r="B3579" t="s">
        <v>101</v>
      </c>
      <c r="C3579" t="s">
        <v>102</v>
      </c>
    </row>
    <row r="3580" spans="1:9" x14ac:dyDescent="0.35">
      <c r="A3580" t="s">
        <v>6</v>
      </c>
    </row>
    <row r="3581" spans="1:9" x14ac:dyDescent="0.35">
      <c r="A3581" t="s">
        <v>138</v>
      </c>
      <c r="B3581" t="s">
        <v>139</v>
      </c>
      <c r="C3581" t="s">
        <v>140</v>
      </c>
      <c r="D3581" t="s">
        <v>141</v>
      </c>
      <c r="E3581" t="s">
        <v>142</v>
      </c>
      <c r="F3581" t="s">
        <v>124</v>
      </c>
      <c r="G3581" t="s">
        <v>143</v>
      </c>
      <c r="H3581" t="s">
        <v>161</v>
      </c>
      <c r="I3581" t="s">
        <v>145</v>
      </c>
    </row>
    <row r="3582" spans="1:9" x14ac:dyDescent="0.35">
      <c r="A3582" t="s">
        <v>50</v>
      </c>
      <c r="B3582" t="s">
        <v>51</v>
      </c>
      <c r="C3582" t="s">
        <v>52</v>
      </c>
    </row>
    <row r="3583" spans="1:9" x14ac:dyDescent="0.35">
      <c r="A3583" t="s">
        <v>3</v>
      </c>
    </row>
    <row r="3584" spans="1:9" x14ac:dyDescent="0.35">
      <c r="A3584" t="s">
        <v>18</v>
      </c>
      <c r="B3584" t="s">
        <v>160</v>
      </c>
    </row>
    <row r="3585" spans="1:4" x14ac:dyDescent="0.35">
      <c r="A3585" t="s">
        <v>18</v>
      </c>
      <c r="B3585" t="s">
        <v>130</v>
      </c>
    </row>
    <row r="3586" spans="1:4" x14ac:dyDescent="0.35">
      <c r="A3586" t="s">
        <v>7</v>
      </c>
    </row>
    <row r="3587" spans="1:4" x14ac:dyDescent="0.35">
      <c r="A3587" t="s">
        <v>162</v>
      </c>
      <c r="B3587" t="s">
        <v>124</v>
      </c>
    </row>
    <row r="3588" spans="1:4" x14ac:dyDescent="0.35">
      <c r="A3588" t="s">
        <v>15</v>
      </c>
    </row>
    <row r="3589" spans="1:4" x14ac:dyDescent="0.35">
      <c r="A3589" t="s">
        <v>6</v>
      </c>
    </row>
    <row r="3590" spans="1:4" x14ac:dyDescent="0.35">
      <c r="A3590" t="s">
        <v>165</v>
      </c>
      <c r="B3590" t="s">
        <v>1</v>
      </c>
    </row>
    <row r="3591" spans="1:4" x14ac:dyDescent="0.35">
      <c r="A3591" t="s">
        <v>1</v>
      </c>
    </row>
    <row r="3592" spans="1:4" x14ac:dyDescent="0.35">
      <c r="A3592" t="s">
        <v>11</v>
      </c>
    </row>
    <row r="3593" spans="1:4" x14ac:dyDescent="0.35">
      <c r="A3593" t="s">
        <v>12</v>
      </c>
    </row>
    <row r="3594" spans="1:4" x14ac:dyDescent="0.35">
      <c r="A3594" t="s">
        <v>96</v>
      </c>
      <c r="B3594" t="s">
        <v>18</v>
      </c>
    </row>
    <row r="3595" spans="1:4" x14ac:dyDescent="0.35">
      <c r="A3595" t="s">
        <v>1</v>
      </c>
      <c r="B3595" t="s">
        <v>87</v>
      </c>
    </row>
    <row r="3596" spans="1:4" x14ac:dyDescent="0.35">
      <c r="A3596" t="s">
        <v>3</v>
      </c>
    </row>
    <row r="3597" spans="1:4" x14ac:dyDescent="0.35">
      <c r="A3597" t="s">
        <v>187</v>
      </c>
      <c r="B3597" t="s">
        <v>167</v>
      </c>
      <c r="C3597" t="s">
        <v>168</v>
      </c>
      <c r="D3597" t="s">
        <v>169</v>
      </c>
    </row>
    <row r="3598" spans="1:4" x14ac:dyDescent="0.35">
      <c r="A3598" t="s">
        <v>50</v>
      </c>
      <c r="B3598" t="s">
        <v>51</v>
      </c>
      <c r="C3598" t="s">
        <v>52</v>
      </c>
      <c r="D3598" t="s">
        <v>63</v>
      </c>
    </row>
    <row r="3599" spans="1:4" x14ac:dyDescent="0.35">
      <c r="A3599" t="s">
        <v>50</v>
      </c>
      <c r="B3599" t="s">
        <v>51</v>
      </c>
      <c r="C3599" t="s">
        <v>52</v>
      </c>
    </row>
    <row r="3600" spans="1:4" x14ac:dyDescent="0.35">
      <c r="A3600" t="s">
        <v>109</v>
      </c>
      <c r="B3600" t="s">
        <v>110</v>
      </c>
      <c r="C3600" t="s">
        <v>111</v>
      </c>
    </row>
    <row r="3601" spans="1:7" x14ac:dyDescent="0.35">
      <c r="A3601" t="s">
        <v>10</v>
      </c>
    </row>
    <row r="3602" spans="1:7" x14ac:dyDescent="0.35">
      <c r="A3602" t="s">
        <v>1</v>
      </c>
    </row>
    <row r="3603" spans="1:7" x14ac:dyDescent="0.35">
      <c r="A3603" t="s">
        <v>96</v>
      </c>
      <c r="B3603" t="s">
        <v>18</v>
      </c>
    </row>
    <row r="3604" spans="1:7" x14ac:dyDescent="0.35">
      <c r="A3604" t="s">
        <v>108</v>
      </c>
      <c r="B3604" t="s">
        <v>11</v>
      </c>
    </row>
    <row r="3605" spans="1:7" x14ac:dyDescent="0.35">
      <c r="A3605" t="s">
        <v>64</v>
      </c>
      <c r="B3605" t="s">
        <v>65</v>
      </c>
      <c r="C3605" t="s">
        <v>66</v>
      </c>
      <c r="D3605" t="s">
        <v>18</v>
      </c>
      <c r="E3605" t="s">
        <v>67</v>
      </c>
      <c r="F3605" t="s">
        <v>68</v>
      </c>
    </row>
    <row r="3606" spans="1:7" x14ac:dyDescent="0.35">
      <c r="A3606" t="s">
        <v>3</v>
      </c>
    </row>
    <row r="3607" spans="1:7" x14ac:dyDescent="0.35">
      <c r="A3607" t="s">
        <v>1</v>
      </c>
      <c r="B3607" t="s">
        <v>87</v>
      </c>
      <c r="C3607" t="s">
        <v>131</v>
      </c>
    </row>
    <row r="3608" spans="1:7" x14ac:dyDescent="0.35">
      <c r="A3608" t="s">
        <v>93</v>
      </c>
      <c r="B3608" t="s">
        <v>50</v>
      </c>
      <c r="C3608" t="s">
        <v>51</v>
      </c>
      <c r="D3608" t="s">
        <v>52</v>
      </c>
      <c r="E3608" t="s">
        <v>94</v>
      </c>
      <c r="F3608" t="s">
        <v>77</v>
      </c>
      <c r="G3608" t="s">
        <v>95</v>
      </c>
    </row>
    <row r="3609" spans="1:7" x14ac:dyDescent="0.35">
      <c r="A3609" t="s">
        <v>12</v>
      </c>
    </row>
    <row r="3610" spans="1:7" x14ac:dyDescent="0.35">
      <c r="A3610" t="s">
        <v>18</v>
      </c>
    </row>
    <row r="3611" spans="1:7" x14ac:dyDescent="0.35">
      <c r="A3611" t="s">
        <v>96</v>
      </c>
      <c r="B3611" t="s">
        <v>176</v>
      </c>
      <c r="C3611" t="s">
        <v>66</v>
      </c>
      <c r="D3611" t="s">
        <v>18</v>
      </c>
      <c r="E3611" t="s">
        <v>67</v>
      </c>
      <c r="F3611" t="s">
        <v>68</v>
      </c>
    </row>
    <row r="3612" spans="1:7" x14ac:dyDescent="0.35">
      <c r="A3612" t="s">
        <v>56</v>
      </c>
      <c r="B3612" t="s">
        <v>57</v>
      </c>
      <c r="C3612" t="s">
        <v>171</v>
      </c>
      <c r="D3612" t="s">
        <v>172</v>
      </c>
      <c r="E3612" t="s">
        <v>173</v>
      </c>
    </row>
    <row r="3613" spans="1:7" x14ac:dyDescent="0.35">
      <c r="A3613" t="s">
        <v>12</v>
      </c>
      <c r="B3613" t="s">
        <v>177</v>
      </c>
    </row>
    <row r="3614" spans="1:7" x14ac:dyDescent="0.35">
      <c r="A3614" t="s">
        <v>5</v>
      </c>
    </row>
    <row r="3615" spans="1:7" x14ac:dyDescent="0.35">
      <c r="A3615" t="s">
        <v>3</v>
      </c>
      <c r="B3615" t="s">
        <v>117</v>
      </c>
    </row>
    <row r="3616" spans="1:7" x14ac:dyDescent="0.35">
      <c r="A3616" t="s">
        <v>56</v>
      </c>
      <c r="B3616" t="s">
        <v>57</v>
      </c>
      <c r="C3616" t="s">
        <v>132</v>
      </c>
      <c r="D3616" t="s">
        <v>99</v>
      </c>
    </row>
    <row r="3617" spans="1:7" x14ac:dyDescent="0.35">
      <c r="A3617" t="s">
        <v>7</v>
      </c>
    </row>
    <row r="3618" spans="1:7" x14ac:dyDescent="0.35">
      <c r="A3618" t="s">
        <v>11</v>
      </c>
    </row>
    <row r="3619" spans="1:7" x14ac:dyDescent="0.35">
      <c r="A3619" t="s">
        <v>18</v>
      </c>
    </row>
    <row r="3620" spans="1:7" x14ac:dyDescent="0.35">
      <c r="A3620" t="s">
        <v>64</v>
      </c>
      <c r="B3620" t="s">
        <v>65</v>
      </c>
      <c r="C3620" t="s">
        <v>66</v>
      </c>
      <c r="D3620" t="s">
        <v>18</v>
      </c>
      <c r="E3620" t="s">
        <v>67</v>
      </c>
      <c r="F3620" t="s">
        <v>68</v>
      </c>
    </row>
    <row r="3621" spans="1:7" x14ac:dyDescent="0.35">
      <c r="A3621" t="s">
        <v>11</v>
      </c>
    </row>
    <row r="3622" spans="1:7" x14ac:dyDescent="0.35">
      <c r="A3622" t="s">
        <v>18</v>
      </c>
      <c r="B3622" t="s">
        <v>160</v>
      </c>
    </row>
    <row r="3623" spans="1:7" x14ac:dyDescent="0.35">
      <c r="A3623" t="s">
        <v>50</v>
      </c>
      <c r="B3623" t="s">
        <v>51</v>
      </c>
      <c r="C3623" t="s">
        <v>52</v>
      </c>
    </row>
    <row r="3624" spans="1:7" x14ac:dyDescent="0.35">
      <c r="A3624" t="s">
        <v>100</v>
      </c>
      <c r="B3624" t="s">
        <v>101</v>
      </c>
      <c r="C3624" t="s">
        <v>102</v>
      </c>
    </row>
    <row r="3625" spans="1:7" x14ac:dyDescent="0.35">
      <c r="A3625" t="s">
        <v>24</v>
      </c>
    </row>
    <row r="3626" spans="1:7" x14ac:dyDescent="0.35">
      <c r="A3626" t="s">
        <v>18</v>
      </c>
      <c r="B3626" t="s">
        <v>130</v>
      </c>
    </row>
    <row r="3627" spans="1:7" x14ac:dyDescent="0.35">
      <c r="A3627" t="s">
        <v>17</v>
      </c>
    </row>
    <row r="3628" spans="1:7" x14ac:dyDescent="0.35">
      <c r="A3628" t="s">
        <v>64</v>
      </c>
      <c r="B3628" t="s">
        <v>66</v>
      </c>
      <c r="C3628" t="s">
        <v>18</v>
      </c>
      <c r="D3628" t="s">
        <v>67</v>
      </c>
      <c r="E3628" t="s">
        <v>68</v>
      </c>
    </row>
    <row r="3629" spans="1:7" x14ac:dyDescent="0.35">
      <c r="A3629" t="s">
        <v>165</v>
      </c>
      <c r="B3629" t="s">
        <v>1</v>
      </c>
    </row>
    <row r="3630" spans="1:7" x14ac:dyDescent="0.35">
      <c r="A3630" t="s">
        <v>18</v>
      </c>
    </row>
    <row r="3631" spans="1:7" x14ac:dyDescent="0.35">
      <c r="A3631" t="s">
        <v>11</v>
      </c>
    </row>
    <row r="3632" spans="1:7" x14ac:dyDescent="0.35">
      <c r="A3632" t="s">
        <v>64</v>
      </c>
      <c r="B3632" t="s">
        <v>65</v>
      </c>
      <c r="C3632" t="s">
        <v>158</v>
      </c>
      <c r="D3632" t="s">
        <v>66</v>
      </c>
      <c r="E3632" t="s">
        <v>18</v>
      </c>
      <c r="F3632" t="s">
        <v>67</v>
      </c>
      <c r="G3632" t="s">
        <v>68</v>
      </c>
    </row>
    <row r="3633" spans="1:7" x14ac:dyDescent="0.35">
      <c r="A3633" t="s">
        <v>50</v>
      </c>
      <c r="B3633" t="s">
        <v>51</v>
      </c>
      <c r="C3633" t="s">
        <v>52</v>
      </c>
      <c r="D3633" t="s">
        <v>80</v>
      </c>
    </row>
    <row r="3634" spans="1:7" x14ac:dyDescent="0.35">
      <c r="A3634" t="s">
        <v>18</v>
      </c>
      <c r="B3634" t="s">
        <v>178</v>
      </c>
    </row>
    <row r="3635" spans="1:7" x14ac:dyDescent="0.35">
      <c r="A3635" t="s">
        <v>12</v>
      </c>
    </row>
    <row r="3636" spans="1:7" x14ac:dyDescent="0.35">
      <c r="A3636" t="s">
        <v>64</v>
      </c>
      <c r="B3636" t="s">
        <v>65</v>
      </c>
      <c r="C3636" t="s">
        <v>66</v>
      </c>
      <c r="D3636" t="s">
        <v>18</v>
      </c>
      <c r="E3636" t="s">
        <v>129</v>
      </c>
      <c r="F3636" t="s">
        <v>67</v>
      </c>
      <c r="G3636" t="s">
        <v>68</v>
      </c>
    </row>
    <row r="3637" spans="1:7" x14ac:dyDescent="0.35">
      <c r="A3637" t="s">
        <v>18</v>
      </c>
    </row>
    <row r="3638" spans="1:7" x14ac:dyDescent="0.35">
      <c r="A3638" t="s">
        <v>138</v>
      </c>
      <c r="B3638" t="s">
        <v>240</v>
      </c>
      <c r="C3638" t="s">
        <v>139</v>
      </c>
      <c r="D3638" t="s">
        <v>140</v>
      </c>
      <c r="E3638" t="s">
        <v>141</v>
      </c>
      <c r="F3638" t="s">
        <v>142</v>
      </c>
      <c r="G3638" t="s">
        <v>124</v>
      </c>
    </row>
    <row r="3639" spans="1:7" x14ac:dyDescent="0.35">
      <c r="A3639" t="s">
        <v>96</v>
      </c>
      <c r="B3639" t="s">
        <v>18</v>
      </c>
    </row>
    <row r="3640" spans="1:7" x14ac:dyDescent="0.35">
      <c r="A3640" t="s">
        <v>12</v>
      </c>
    </row>
    <row r="3641" spans="1:7" x14ac:dyDescent="0.35">
      <c r="A3641" t="s">
        <v>18</v>
      </c>
      <c r="B3641" t="s">
        <v>225</v>
      </c>
    </row>
    <row r="3642" spans="1:7" x14ac:dyDescent="0.35">
      <c r="A3642" t="s">
        <v>93</v>
      </c>
      <c r="B3642" t="s">
        <v>50</v>
      </c>
      <c r="C3642" t="s">
        <v>51</v>
      </c>
      <c r="D3642" t="s">
        <v>52</v>
      </c>
      <c r="E3642" t="s">
        <v>94</v>
      </c>
      <c r="F3642" t="s">
        <v>77</v>
      </c>
      <c r="G3642" t="s">
        <v>95</v>
      </c>
    </row>
    <row r="3643" spans="1:7" x14ac:dyDescent="0.35">
      <c r="A3643" t="s">
        <v>139</v>
      </c>
      <c r="B3643" t="s">
        <v>140</v>
      </c>
      <c r="C3643" t="s">
        <v>141</v>
      </c>
      <c r="D3643" t="s">
        <v>142</v>
      </c>
      <c r="E3643" t="s">
        <v>124</v>
      </c>
    </row>
    <row r="3644" spans="1:7" x14ac:dyDescent="0.35">
      <c r="A3644" t="s">
        <v>64</v>
      </c>
      <c r="B3644" t="s">
        <v>66</v>
      </c>
      <c r="C3644" t="s">
        <v>18</v>
      </c>
      <c r="D3644" t="s">
        <v>67</v>
      </c>
      <c r="E3644" t="s">
        <v>68</v>
      </c>
    </row>
    <row r="3645" spans="1:7" x14ac:dyDescent="0.35">
      <c r="A3645" t="s">
        <v>17</v>
      </c>
    </row>
    <row r="3646" spans="1:7" x14ac:dyDescent="0.35">
      <c r="A3646" t="s">
        <v>1</v>
      </c>
      <c r="B3646" t="s">
        <v>87</v>
      </c>
      <c r="C3646" t="s">
        <v>204</v>
      </c>
    </row>
    <row r="3647" spans="1:7" x14ac:dyDescent="0.35">
      <c r="A3647" t="s">
        <v>7</v>
      </c>
    </row>
    <row r="3648" spans="1:7" x14ac:dyDescent="0.35">
      <c r="A3648" t="s">
        <v>7</v>
      </c>
    </row>
    <row r="3649" spans="1:6" x14ac:dyDescent="0.35">
      <c r="A3649" t="s">
        <v>96</v>
      </c>
      <c r="B3649" t="s">
        <v>176</v>
      </c>
      <c r="C3649" t="s">
        <v>66</v>
      </c>
      <c r="D3649" t="s">
        <v>18</v>
      </c>
      <c r="E3649" t="s">
        <v>67</v>
      </c>
      <c r="F3649" t="s">
        <v>68</v>
      </c>
    </row>
    <row r="3650" spans="1:6" x14ac:dyDescent="0.35">
      <c r="A3650" t="s">
        <v>1</v>
      </c>
    </row>
    <row r="3651" spans="1:6" x14ac:dyDescent="0.35">
      <c r="A3651" t="s">
        <v>7</v>
      </c>
    </row>
    <row r="3652" spans="1:6" x14ac:dyDescent="0.35">
      <c r="A3652" t="s">
        <v>7</v>
      </c>
    </row>
    <row r="3653" spans="1:6" x14ac:dyDescent="0.35">
      <c r="A3653" t="s">
        <v>18</v>
      </c>
      <c r="B3653" t="s">
        <v>130</v>
      </c>
    </row>
    <row r="3654" spans="1:6" x14ac:dyDescent="0.35">
      <c r="A3654" t="s">
        <v>126</v>
      </c>
      <c r="B3654" t="s">
        <v>127</v>
      </c>
    </row>
    <row r="3655" spans="1:6" x14ac:dyDescent="0.35">
      <c r="A3655" t="s">
        <v>11</v>
      </c>
    </row>
    <row r="3656" spans="1:6" x14ac:dyDescent="0.35">
      <c r="A3656" t="s">
        <v>96</v>
      </c>
      <c r="B3656" t="s">
        <v>18</v>
      </c>
    </row>
    <row r="3657" spans="1:6" x14ac:dyDescent="0.35">
      <c r="A3657" t="s">
        <v>1</v>
      </c>
      <c r="B3657" t="s">
        <v>87</v>
      </c>
      <c r="C3657" t="s">
        <v>182</v>
      </c>
    </row>
    <row r="3658" spans="1:6" x14ac:dyDescent="0.35">
      <c r="A3658" t="s">
        <v>1</v>
      </c>
    </row>
    <row r="3659" spans="1:6" x14ac:dyDescent="0.35">
      <c r="A3659" t="s">
        <v>56</v>
      </c>
      <c r="B3659" t="s">
        <v>57</v>
      </c>
    </row>
    <row r="3660" spans="1:6" x14ac:dyDescent="0.35">
      <c r="A3660" t="s">
        <v>10</v>
      </c>
    </row>
    <row r="3661" spans="1:6" x14ac:dyDescent="0.35">
      <c r="A3661" t="s">
        <v>50</v>
      </c>
      <c r="B3661" t="s">
        <v>51</v>
      </c>
      <c r="C3661" t="s">
        <v>52</v>
      </c>
      <c r="D3661" t="s">
        <v>63</v>
      </c>
    </row>
    <row r="3662" spans="1:6" x14ac:dyDescent="0.35">
      <c r="A3662" t="s">
        <v>96</v>
      </c>
      <c r="B3662" t="s">
        <v>18</v>
      </c>
    </row>
    <row r="3663" spans="1:6" x14ac:dyDescent="0.35">
      <c r="A3663" t="s">
        <v>3</v>
      </c>
    </row>
    <row r="3664" spans="1:6" x14ac:dyDescent="0.35">
      <c r="A3664" t="s">
        <v>50</v>
      </c>
      <c r="B3664" t="s">
        <v>51</v>
      </c>
      <c r="C3664" t="s">
        <v>52</v>
      </c>
      <c r="D3664" t="s">
        <v>72</v>
      </c>
      <c r="E3664" t="s">
        <v>73</v>
      </c>
    </row>
    <row r="3665" spans="1:9" x14ac:dyDescent="0.35">
      <c r="A3665" t="s">
        <v>162</v>
      </c>
      <c r="B3665" t="s">
        <v>124</v>
      </c>
    </row>
    <row r="3666" spans="1:9" x14ac:dyDescent="0.35">
      <c r="A3666" t="s">
        <v>18</v>
      </c>
      <c r="B3666" t="s">
        <v>130</v>
      </c>
    </row>
    <row r="3667" spans="1:9" x14ac:dyDescent="0.35">
      <c r="A3667" t="s">
        <v>5</v>
      </c>
    </row>
    <row r="3668" spans="1:9" x14ac:dyDescent="0.35">
      <c r="A3668" t="s">
        <v>96</v>
      </c>
      <c r="B3668" t="s">
        <v>18</v>
      </c>
    </row>
    <row r="3669" spans="1:9" x14ac:dyDescent="0.35">
      <c r="A3669" t="s">
        <v>1</v>
      </c>
      <c r="B3669" t="s">
        <v>87</v>
      </c>
      <c r="C3669" t="s">
        <v>201</v>
      </c>
    </row>
    <row r="3670" spans="1:9" x14ac:dyDescent="0.35">
      <c r="A3670" t="s">
        <v>237</v>
      </c>
      <c r="B3670" t="s">
        <v>198</v>
      </c>
    </row>
    <row r="3671" spans="1:9" x14ac:dyDescent="0.35">
      <c r="A3671" t="s">
        <v>93</v>
      </c>
      <c r="B3671" t="s">
        <v>50</v>
      </c>
      <c r="C3671" t="s">
        <v>51</v>
      </c>
      <c r="D3671" t="s">
        <v>52</v>
      </c>
      <c r="E3671" t="s">
        <v>94</v>
      </c>
      <c r="F3671" t="s">
        <v>77</v>
      </c>
      <c r="G3671" t="s">
        <v>95</v>
      </c>
    </row>
    <row r="3672" spans="1:9" x14ac:dyDescent="0.35">
      <c r="A3672" t="s">
        <v>155</v>
      </c>
      <c r="B3672" t="s">
        <v>156</v>
      </c>
      <c r="C3672" t="s">
        <v>157</v>
      </c>
    </row>
    <row r="3673" spans="1:9" x14ac:dyDescent="0.35">
      <c r="A3673" t="s">
        <v>138</v>
      </c>
      <c r="B3673" t="s">
        <v>139</v>
      </c>
      <c r="C3673" t="s">
        <v>140</v>
      </c>
      <c r="D3673" t="s">
        <v>141</v>
      </c>
      <c r="E3673" t="s">
        <v>142</v>
      </c>
      <c r="F3673" t="s">
        <v>124</v>
      </c>
      <c r="G3673" t="s">
        <v>143</v>
      </c>
      <c r="H3673" t="s">
        <v>253</v>
      </c>
      <c r="I3673" t="s">
        <v>145</v>
      </c>
    </row>
    <row r="3674" spans="1:9" x14ac:dyDescent="0.35">
      <c r="A3674" t="s">
        <v>3</v>
      </c>
    </row>
    <row r="3675" spans="1:9" x14ac:dyDescent="0.35">
      <c r="A3675" t="s">
        <v>9</v>
      </c>
    </row>
    <row r="3676" spans="1:9" x14ac:dyDescent="0.35">
      <c r="A3676" t="s">
        <v>18</v>
      </c>
      <c r="B3676" t="s">
        <v>178</v>
      </c>
    </row>
    <row r="3677" spans="1:9" x14ac:dyDescent="0.35">
      <c r="A3677" t="s">
        <v>7</v>
      </c>
    </row>
    <row r="3678" spans="1:9" x14ac:dyDescent="0.35">
      <c r="A3678" t="s">
        <v>64</v>
      </c>
      <c r="B3678" t="s">
        <v>65</v>
      </c>
      <c r="C3678" t="s">
        <v>66</v>
      </c>
      <c r="D3678" t="s">
        <v>18</v>
      </c>
      <c r="E3678" t="s">
        <v>67</v>
      </c>
      <c r="F3678" t="s">
        <v>68</v>
      </c>
    </row>
    <row r="3679" spans="1:9" x14ac:dyDescent="0.35">
      <c r="A3679" t="s">
        <v>1</v>
      </c>
    </row>
    <row r="3680" spans="1:9" x14ac:dyDescent="0.35">
      <c r="A3680" t="s">
        <v>24</v>
      </c>
    </row>
    <row r="3681" spans="1:7" x14ac:dyDescent="0.35">
      <c r="A3681" t="s">
        <v>126</v>
      </c>
      <c r="B3681" t="s">
        <v>127</v>
      </c>
    </row>
    <row r="3682" spans="1:7" x14ac:dyDescent="0.35">
      <c r="A3682" t="s">
        <v>56</v>
      </c>
      <c r="B3682" t="s">
        <v>57</v>
      </c>
    </row>
    <row r="3683" spans="1:7" x14ac:dyDescent="0.35">
      <c r="A3683" t="s">
        <v>155</v>
      </c>
      <c r="B3683" t="s">
        <v>156</v>
      </c>
      <c r="C3683" t="s">
        <v>157</v>
      </c>
    </row>
    <row r="3684" spans="1:7" x14ac:dyDescent="0.35">
      <c r="A3684" t="s">
        <v>42</v>
      </c>
    </row>
    <row r="3685" spans="1:7" x14ac:dyDescent="0.35">
      <c r="A3685" t="s">
        <v>18</v>
      </c>
      <c r="B3685" t="s">
        <v>130</v>
      </c>
      <c r="C3685" t="s">
        <v>257</v>
      </c>
    </row>
    <row r="3686" spans="1:7" x14ac:dyDescent="0.35">
      <c r="A3686" t="s">
        <v>50</v>
      </c>
      <c r="B3686" t="s">
        <v>51</v>
      </c>
      <c r="C3686" t="s">
        <v>52</v>
      </c>
      <c r="D3686" t="s">
        <v>63</v>
      </c>
    </row>
    <row r="3687" spans="1:7" x14ac:dyDescent="0.35">
      <c r="A3687" t="s">
        <v>1</v>
      </c>
    </row>
    <row r="3688" spans="1:7" x14ac:dyDescent="0.35">
      <c r="A3688" t="s">
        <v>12</v>
      </c>
    </row>
    <row r="3689" spans="1:7" x14ac:dyDescent="0.35">
      <c r="A3689" t="s">
        <v>81</v>
      </c>
      <c r="B3689" t="s">
        <v>11</v>
      </c>
    </row>
    <row r="3690" spans="1:7" x14ac:dyDescent="0.35">
      <c r="A3690" t="s">
        <v>50</v>
      </c>
      <c r="B3690" t="s">
        <v>51</v>
      </c>
      <c r="C3690" t="s">
        <v>52</v>
      </c>
      <c r="D3690" t="s">
        <v>63</v>
      </c>
    </row>
    <row r="3691" spans="1:7" x14ac:dyDescent="0.35">
      <c r="A3691" t="s">
        <v>64</v>
      </c>
      <c r="B3691" t="s">
        <v>66</v>
      </c>
      <c r="C3691" t="s">
        <v>18</v>
      </c>
      <c r="D3691" t="s">
        <v>67</v>
      </c>
      <c r="E3691" t="s">
        <v>68</v>
      </c>
    </row>
    <row r="3692" spans="1:7" x14ac:dyDescent="0.35">
      <c r="A3692" t="s">
        <v>3</v>
      </c>
    </row>
    <row r="3693" spans="1:7" x14ac:dyDescent="0.35">
      <c r="A3693" t="s">
        <v>1</v>
      </c>
    </row>
    <row r="3694" spans="1:7" x14ac:dyDescent="0.35">
      <c r="A3694" t="s">
        <v>105</v>
      </c>
      <c r="B3694" t="s">
        <v>137</v>
      </c>
      <c r="C3694" t="s">
        <v>11</v>
      </c>
    </row>
    <row r="3695" spans="1:7" x14ac:dyDescent="0.35">
      <c r="A3695" t="s">
        <v>18</v>
      </c>
    </row>
    <row r="3696" spans="1:7" x14ac:dyDescent="0.35">
      <c r="A3696" t="s">
        <v>64</v>
      </c>
      <c r="B3696" t="s">
        <v>65</v>
      </c>
      <c r="C3696" t="s">
        <v>66</v>
      </c>
      <c r="D3696" t="s">
        <v>18</v>
      </c>
      <c r="E3696" t="s">
        <v>129</v>
      </c>
      <c r="F3696" t="s">
        <v>67</v>
      </c>
      <c r="G3696" t="s">
        <v>68</v>
      </c>
    </row>
    <row r="3697" spans="1:5" x14ac:dyDescent="0.35">
      <c r="A3697" t="s">
        <v>17</v>
      </c>
    </row>
    <row r="3698" spans="1:5" x14ac:dyDescent="0.35">
      <c r="A3698" t="s">
        <v>24</v>
      </c>
    </row>
    <row r="3699" spans="1:5" x14ac:dyDescent="0.35">
      <c r="A3699" t="s">
        <v>121</v>
      </c>
      <c r="B3699" t="s">
        <v>122</v>
      </c>
      <c r="C3699" t="s">
        <v>18</v>
      </c>
      <c r="D3699" t="s">
        <v>258</v>
      </c>
    </row>
    <row r="3700" spans="1:5" x14ac:dyDescent="0.35">
      <c r="A3700" t="s">
        <v>15</v>
      </c>
    </row>
    <row r="3701" spans="1:5" x14ac:dyDescent="0.35">
      <c r="A3701" t="s">
        <v>43</v>
      </c>
    </row>
    <row r="3702" spans="1:5" x14ac:dyDescent="0.35">
      <c r="A3702" t="s">
        <v>12</v>
      </c>
    </row>
    <row r="3703" spans="1:5" x14ac:dyDescent="0.35">
      <c r="A3703" t="s">
        <v>18</v>
      </c>
    </row>
    <row r="3704" spans="1:5" x14ac:dyDescent="0.35">
      <c r="A3704" t="s">
        <v>100</v>
      </c>
      <c r="B3704" t="s">
        <v>259</v>
      </c>
      <c r="C3704" t="s">
        <v>102</v>
      </c>
    </row>
    <row r="3705" spans="1:5" x14ac:dyDescent="0.35">
      <c r="A3705" t="s">
        <v>4</v>
      </c>
    </row>
    <row r="3706" spans="1:5" x14ac:dyDescent="0.35">
      <c r="A3706" t="s">
        <v>187</v>
      </c>
      <c r="B3706" t="s">
        <v>167</v>
      </c>
      <c r="C3706" t="s">
        <v>168</v>
      </c>
      <c r="D3706" t="s">
        <v>169</v>
      </c>
    </row>
    <row r="3707" spans="1:5" x14ac:dyDescent="0.35">
      <c r="A3707" t="s">
        <v>7</v>
      </c>
    </row>
    <row r="3708" spans="1:5" x14ac:dyDescent="0.35">
      <c r="A3708" t="s">
        <v>1</v>
      </c>
    </row>
    <row r="3709" spans="1:5" x14ac:dyDescent="0.35">
      <c r="A3709" t="s">
        <v>96</v>
      </c>
      <c r="B3709" t="s">
        <v>66</v>
      </c>
      <c r="C3709" t="s">
        <v>18</v>
      </c>
      <c r="D3709" t="s">
        <v>67</v>
      </c>
      <c r="E3709" t="s">
        <v>68</v>
      </c>
    </row>
    <row r="3710" spans="1:5" x14ac:dyDescent="0.35">
      <c r="A3710" t="s">
        <v>1</v>
      </c>
      <c r="B3710" t="s">
        <v>87</v>
      </c>
      <c r="C3710" t="s">
        <v>217</v>
      </c>
      <c r="D3710" t="s">
        <v>181</v>
      </c>
    </row>
    <row r="3711" spans="1:5" x14ac:dyDescent="0.35">
      <c r="A3711" t="s">
        <v>24</v>
      </c>
    </row>
    <row r="3712" spans="1:5" x14ac:dyDescent="0.35">
      <c r="A3712" t="s">
        <v>56</v>
      </c>
      <c r="B3712" t="s">
        <v>57</v>
      </c>
    </row>
    <row r="3713" spans="1:6" x14ac:dyDescent="0.35">
      <c r="A3713" t="s">
        <v>1</v>
      </c>
      <c r="B3713" t="s">
        <v>87</v>
      </c>
      <c r="C3713" t="s">
        <v>188</v>
      </c>
    </row>
    <row r="3714" spans="1:6" x14ac:dyDescent="0.35">
      <c r="A3714" t="s">
        <v>1</v>
      </c>
      <c r="B3714" t="s">
        <v>87</v>
      </c>
      <c r="C3714" t="s">
        <v>260</v>
      </c>
    </row>
    <row r="3715" spans="1:6" x14ac:dyDescent="0.35">
      <c r="A3715" t="s">
        <v>5</v>
      </c>
    </row>
    <row r="3716" spans="1:6" x14ac:dyDescent="0.35">
      <c r="A3716" t="s">
        <v>1</v>
      </c>
    </row>
    <row r="3717" spans="1:6" x14ac:dyDescent="0.35">
      <c r="A3717" t="s">
        <v>64</v>
      </c>
      <c r="B3717" t="s">
        <v>66</v>
      </c>
      <c r="C3717" t="s">
        <v>18</v>
      </c>
      <c r="D3717" t="s">
        <v>67</v>
      </c>
      <c r="E3717" t="s">
        <v>68</v>
      </c>
    </row>
    <row r="3718" spans="1:6" x14ac:dyDescent="0.35">
      <c r="A3718" t="s">
        <v>115</v>
      </c>
      <c r="B3718" t="s">
        <v>11</v>
      </c>
    </row>
    <row r="3719" spans="1:6" x14ac:dyDescent="0.35">
      <c r="A3719" t="s">
        <v>64</v>
      </c>
      <c r="B3719" t="s">
        <v>65</v>
      </c>
      <c r="C3719" t="s">
        <v>66</v>
      </c>
      <c r="D3719" t="s">
        <v>18</v>
      </c>
      <c r="E3719" t="s">
        <v>67</v>
      </c>
      <c r="F3719" t="s">
        <v>68</v>
      </c>
    </row>
    <row r="3720" spans="1:6" x14ac:dyDescent="0.35">
      <c r="A3720" t="s">
        <v>56</v>
      </c>
      <c r="B3720" t="s">
        <v>57</v>
      </c>
    </row>
    <row r="3721" spans="1:6" x14ac:dyDescent="0.35">
      <c r="A3721" t="s">
        <v>1</v>
      </c>
      <c r="B3721" t="s">
        <v>87</v>
      </c>
      <c r="C3721" t="s">
        <v>131</v>
      </c>
    </row>
    <row r="3722" spans="1:6" x14ac:dyDescent="0.35">
      <c r="A3722" t="s">
        <v>24</v>
      </c>
    </row>
    <row r="3723" spans="1:6" x14ac:dyDescent="0.35">
      <c r="A3723" t="s">
        <v>162</v>
      </c>
      <c r="B3723" t="s">
        <v>124</v>
      </c>
    </row>
    <row r="3724" spans="1:6" x14ac:dyDescent="0.35">
      <c r="A3724" t="s">
        <v>100</v>
      </c>
      <c r="B3724" t="s">
        <v>101</v>
      </c>
      <c r="C3724" t="s">
        <v>102</v>
      </c>
    </row>
    <row r="3725" spans="1:6" x14ac:dyDescent="0.35">
      <c r="A3725" t="s">
        <v>12</v>
      </c>
      <c r="B3725" t="s">
        <v>177</v>
      </c>
    </row>
    <row r="3726" spans="1:6" x14ac:dyDescent="0.35">
      <c r="A3726" t="s">
        <v>1</v>
      </c>
      <c r="B3726" t="s">
        <v>87</v>
      </c>
      <c r="C3726" t="s">
        <v>192</v>
      </c>
    </row>
    <row r="3727" spans="1:6" x14ac:dyDescent="0.35">
      <c r="A3727" t="s">
        <v>56</v>
      </c>
      <c r="B3727" t="s">
        <v>57</v>
      </c>
      <c r="C3727" t="s">
        <v>171</v>
      </c>
      <c r="D3727" t="s">
        <v>172</v>
      </c>
      <c r="E3727" t="s">
        <v>173</v>
      </c>
    </row>
    <row r="3728" spans="1:6" x14ac:dyDescent="0.35">
      <c r="A3728" t="s">
        <v>26</v>
      </c>
    </row>
    <row r="3729" spans="1:7" x14ac:dyDescent="0.35">
      <c r="A3729" t="s">
        <v>162</v>
      </c>
      <c r="B3729" t="s">
        <v>124</v>
      </c>
    </row>
    <row r="3730" spans="1:7" x14ac:dyDescent="0.35">
      <c r="A3730" t="s">
        <v>5</v>
      </c>
    </row>
    <row r="3731" spans="1:7" x14ac:dyDescent="0.35">
      <c r="A3731" t="s">
        <v>56</v>
      </c>
      <c r="B3731" t="s">
        <v>57</v>
      </c>
      <c r="C3731" t="s">
        <v>171</v>
      </c>
      <c r="D3731" t="s">
        <v>172</v>
      </c>
      <c r="E3731" t="s">
        <v>173</v>
      </c>
    </row>
    <row r="3732" spans="1:7" x14ac:dyDescent="0.35">
      <c r="A3732" t="s">
        <v>93</v>
      </c>
      <c r="B3732" t="s">
        <v>50</v>
      </c>
      <c r="C3732" t="s">
        <v>51</v>
      </c>
      <c r="D3732" t="s">
        <v>52</v>
      </c>
    </row>
    <row r="3733" spans="1:7" x14ac:dyDescent="0.35">
      <c r="A3733" t="s">
        <v>7</v>
      </c>
    </row>
    <row r="3734" spans="1:7" x14ac:dyDescent="0.35">
      <c r="A3734" t="s">
        <v>18</v>
      </c>
      <c r="B3734" t="s">
        <v>178</v>
      </c>
    </row>
    <row r="3735" spans="1:7" x14ac:dyDescent="0.35">
      <c r="A3735" t="s">
        <v>195</v>
      </c>
      <c r="B3735" t="s">
        <v>1</v>
      </c>
    </row>
    <row r="3736" spans="1:7" x14ac:dyDescent="0.35">
      <c r="A3736" t="s">
        <v>7</v>
      </c>
    </row>
    <row r="3737" spans="1:7" x14ac:dyDescent="0.35">
      <c r="A3737" t="s">
        <v>12</v>
      </c>
    </row>
    <row r="3738" spans="1:7" x14ac:dyDescent="0.35">
      <c r="A3738" t="s">
        <v>50</v>
      </c>
      <c r="B3738" t="s">
        <v>51</v>
      </c>
      <c r="C3738" t="s">
        <v>52</v>
      </c>
      <c r="D3738" t="s">
        <v>60</v>
      </c>
      <c r="E3738" t="s">
        <v>61</v>
      </c>
    </row>
    <row r="3739" spans="1:7" x14ac:dyDescent="0.35">
      <c r="A3739" t="s">
        <v>15</v>
      </c>
    </row>
    <row r="3740" spans="1:7" x14ac:dyDescent="0.35">
      <c r="A3740" t="s">
        <v>7</v>
      </c>
    </row>
    <row r="3741" spans="1:7" x14ac:dyDescent="0.35">
      <c r="A3741" t="s">
        <v>1</v>
      </c>
      <c r="B3741" t="s">
        <v>87</v>
      </c>
      <c r="C3741" t="s">
        <v>192</v>
      </c>
    </row>
    <row r="3742" spans="1:7" x14ac:dyDescent="0.35">
      <c r="A3742" t="s">
        <v>64</v>
      </c>
      <c r="B3742" t="s">
        <v>65</v>
      </c>
      <c r="C3742" t="s">
        <v>66</v>
      </c>
      <c r="D3742" t="s">
        <v>18</v>
      </c>
      <c r="E3742" t="s">
        <v>129</v>
      </c>
      <c r="F3742" t="s">
        <v>67</v>
      </c>
      <c r="G3742" t="s">
        <v>68</v>
      </c>
    </row>
    <row r="3743" spans="1:7" x14ac:dyDescent="0.35">
      <c r="A3743" t="s">
        <v>1</v>
      </c>
      <c r="B3743" t="s">
        <v>87</v>
      </c>
      <c r="C3743" t="s">
        <v>217</v>
      </c>
      <c r="D3743" t="s">
        <v>181</v>
      </c>
    </row>
    <row r="3744" spans="1:7" x14ac:dyDescent="0.35">
      <c r="A3744" t="s">
        <v>7</v>
      </c>
    </row>
    <row r="3745" spans="1:6" x14ac:dyDescent="0.35">
      <c r="A3745" t="s">
        <v>12</v>
      </c>
      <c r="B3745" t="s">
        <v>177</v>
      </c>
    </row>
    <row r="3746" spans="1:6" x14ac:dyDescent="0.35">
      <c r="A3746" t="s">
        <v>64</v>
      </c>
      <c r="B3746" t="s">
        <v>66</v>
      </c>
      <c r="C3746" t="s">
        <v>18</v>
      </c>
      <c r="D3746" t="s">
        <v>67</v>
      </c>
      <c r="E3746" t="s">
        <v>68</v>
      </c>
    </row>
    <row r="3747" spans="1:6" x14ac:dyDescent="0.35">
      <c r="A3747" t="s">
        <v>1</v>
      </c>
    </row>
    <row r="3748" spans="1:6" x14ac:dyDescent="0.35">
      <c r="A3748" t="s">
        <v>138</v>
      </c>
      <c r="B3748" t="s">
        <v>139</v>
      </c>
      <c r="C3748" t="s">
        <v>140</v>
      </c>
      <c r="D3748" t="s">
        <v>141</v>
      </c>
      <c r="E3748" t="s">
        <v>142</v>
      </c>
      <c r="F3748" t="s">
        <v>124</v>
      </c>
    </row>
    <row r="3749" spans="1:6" x14ac:dyDescent="0.35">
      <c r="A3749" t="s">
        <v>64</v>
      </c>
      <c r="B3749" t="s">
        <v>66</v>
      </c>
      <c r="C3749" t="s">
        <v>18</v>
      </c>
      <c r="D3749" t="s">
        <v>67</v>
      </c>
      <c r="E3749" t="s">
        <v>68</v>
      </c>
    </row>
    <row r="3750" spans="1:6" x14ac:dyDescent="0.35">
      <c r="A3750" t="s">
        <v>155</v>
      </c>
      <c r="B3750" t="s">
        <v>261</v>
      </c>
    </row>
    <row r="3751" spans="1:6" x14ac:dyDescent="0.35">
      <c r="A3751" t="s">
        <v>187</v>
      </c>
      <c r="B3751" t="s">
        <v>167</v>
      </c>
      <c r="C3751" t="s">
        <v>168</v>
      </c>
      <c r="D3751" t="s">
        <v>262</v>
      </c>
      <c r="E3751" t="s">
        <v>169</v>
      </c>
    </row>
    <row r="3752" spans="1:6" x14ac:dyDescent="0.35">
      <c r="A3752" t="s">
        <v>56</v>
      </c>
      <c r="B3752" t="s">
        <v>57</v>
      </c>
      <c r="C3752" t="s">
        <v>173</v>
      </c>
    </row>
    <row r="3753" spans="1:6" x14ac:dyDescent="0.35">
      <c r="A3753" t="s">
        <v>115</v>
      </c>
      <c r="B3753" t="s">
        <v>11</v>
      </c>
    </row>
    <row r="3754" spans="1:6" x14ac:dyDescent="0.35">
      <c r="A3754" t="s">
        <v>115</v>
      </c>
      <c r="B3754" t="s">
        <v>11</v>
      </c>
    </row>
    <row r="3755" spans="1:6" x14ac:dyDescent="0.35">
      <c r="A3755" t="s">
        <v>50</v>
      </c>
      <c r="B3755" t="s">
        <v>51</v>
      </c>
      <c r="C3755" t="s">
        <v>52</v>
      </c>
      <c r="D3755" t="s">
        <v>92</v>
      </c>
    </row>
    <row r="3756" spans="1:6" x14ac:dyDescent="0.35">
      <c r="A3756" t="s">
        <v>166</v>
      </c>
      <c r="B3756" t="s">
        <v>167</v>
      </c>
      <c r="C3756" t="s">
        <v>168</v>
      </c>
      <c r="D3756" t="s">
        <v>169</v>
      </c>
    </row>
    <row r="3757" spans="1:6" x14ac:dyDescent="0.35">
      <c r="A3757" t="s">
        <v>15</v>
      </c>
    </row>
    <row r="3758" spans="1:6" x14ac:dyDescent="0.35">
      <c r="A3758" t="s">
        <v>11</v>
      </c>
      <c r="B3758" t="s">
        <v>107</v>
      </c>
    </row>
    <row r="3759" spans="1:6" x14ac:dyDescent="0.35">
      <c r="A3759" t="s">
        <v>11</v>
      </c>
    </row>
    <row r="3760" spans="1:6" x14ac:dyDescent="0.35">
      <c r="A3760" t="s">
        <v>12</v>
      </c>
    </row>
    <row r="3761" spans="1:7" x14ac:dyDescent="0.35">
      <c r="A3761" t="s">
        <v>12</v>
      </c>
    </row>
    <row r="3762" spans="1:7" x14ac:dyDescent="0.35">
      <c r="A3762" t="s">
        <v>1</v>
      </c>
    </row>
    <row r="3763" spans="1:7" x14ac:dyDescent="0.35">
      <c r="A3763" t="s">
        <v>18</v>
      </c>
      <c r="B3763" t="s">
        <v>130</v>
      </c>
    </row>
    <row r="3764" spans="1:7" x14ac:dyDescent="0.35">
      <c r="A3764" t="s">
        <v>11</v>
      </c>
    </row>
    <row r="3765" spans="1:7" x14ac:dyDescent="0.35">
      <c r="A3765" t="s">
        <v>10</v>
      </c>
    </row>
    <row r="3766" spans="1:7" x14ac:dyDescent="0.35">
      <c r="A3766" t="s">
        <v>10</v>
      </c>
    </row>
    <row r="3767" spans="1:7" x14ac:dyDescent="0.35">
      <c r="A3767" t="s">
        <v>1</v>
      </c>
    </row>
    <row r="3768" spans="1:7" x14ac:dyDescent="0.35">
      <c r="A3768" t="s">
        <v>34</v>
      </c>
    </row>
    <row r="3769" spans="1:7" x14ac:dyDescent="0.35">
      <c r="A3769" t="s">
        <v>81</v>
      </c>
      <c r="B3769" t="s">
        <v>11</v>
      </c>
    </row>
    <row r="3770" spans="1:7" x14ac:dyDescent="0.35">
      <c r="A3770" t="s">
        <v>3</v>
      </c>
    </row>
    <row r="3771" spans="1:7" x14ac:dyDescent="0.35">
      <c r="A3771" t="s">
        <v>17</v>
      </c>
    </row>
    <row r="3772" spans="1:7" x14ac:dyDescent="0.35">
      <c r="A3772" t="s">
        <v>96</v>
      </c>
      <c r="B3772" t="s">
        <v>176</v>
      </c>
      <c r="C3772" t="s">
        <v>66</v>
      </c>
      <c r="D3772" t="s">
        <v>18</v>
      </c>
      <c r="E3772" t="s">
        <v>67</v>
      </c>
      <c r="F3772" t="s">
        <v>68</v>
      </c>
    </row>
    <row r="3773" spans="1:7" x14ac:dyDescent="0.35">
      <c r="A3773" t="s">
        <v>162</v>
      </c>
      <c r="B3773" t="s">
        <v>179</v>
      </c>
      <c r="C3773" t="s">
        <v>164</v>
      </c>
      <c r="D3773" t="s">
        <v>180</v>
      </c>
      <c r="E3773" t="s">
        <v>124</v>
      </c>
    </row>
    <row r="3774" spans="1:7" x14ac:dyDescent="0.35">
      <c r="A3774" t="s">
        <v>64</v>
      </c>
      <c r="B3774" t="s">
        <v>66</v>
      </c>
      <c r="C3774" t="s">
        <v>18</v>
      </c>
      <c r="D3774" t="s">
        <v>67</v>
      </c>
      <c r="E3774" t="s">
        <v>68</v>
      </c>
    </row>
    <row r="3775" spans="1:7" x14ac:dyDescent="0.35">
      <c r="A3775" t="s">
        <v>139</v>
      </c>
      <c r="B3775" t="s">
        <v>140</v>
      </c>
      <c r="C3775" t="s">
        <v>141</v>
      </c>
      <c r="D3775" t="s">
        <v>142</v>
      </c>
      <c r="E3775" t="s">
        <v>124</v>
      </c>
      <c r="F3775" t="s">
        <v>143</v>
      </c>
      <c r="G3775" t="s">
        <v>223</v>
      </c>
    </row>
    <row r="3776" spans="1:7" x14ac:dyDescent="0.35">
      <c r="A3776" t="s">
        <v>50</v>
      </c>
      <c r="B3776" t="s">
        <v>51</v>
      </c>
      <c r="C3776" t="s">
        <v>52</v>
      </c>
      <c r="D3776" t="s">
        <v>63</v>
      </c>
    </row>
    <row r="3777" spans="1:7" x14ac:dyDescent="0.35">
      <c r="A3777" t="s">
        <v>162</v>
      </c>
      <c r="B3777" t="s">
        <v>263</v>
      </c>
      <c r="C3777" t="s">
        <v>164</v>
      </c>
      <c r="D3777" t="s">
        <v>124</v>
      </c>
    </row>
    <row r="3778" spans="1:7" x14ac:dyDescent="0.35">
      <c r="A3778" t="s">
        <v>7</v>
      </c>
    </row>
    <row r="3779" spans="1:7" x14ac:dyDescent="0.35">
      <c r="A3779" t="s">
        <v>18</v>
      </c>
      <c r="B3779" t="s">
        <v>160</v>
      </c>
    </row>
    <row r="3780" spans="1:7" x14ac:dyDescent="0.35">
      <c r="A3780" t="s">
        <v>1</v>
      </c>
    </row>
    <row r="3781" spans="1:7" x14ac:dyDescent="0.35">
      <c r="A3781" t="s">
        <v>93</v>
      </c>
      <c r="B3781" t="s">
        <v>50</v>
      </c>
      <c r="C3781" t="s">
        <v>51</v>
      </c>
      <c r="D3781" t="s">
        <v>52</v>
      </c>
      <c r="E3781" t="s">
        <v>94</v>
      </c>
      <c r="F3781" t="s">
        <v>77</v>
      </c>
      <c r="G3781" t="s">
        <v>95</v>
      </c>
    </row>
    <row r="3782" spans="1:7" x14ac:dyDescent="0.35">
      <c r="A3782" t="s">
        <v>3</v>
      </c>
    </row>
    <row r="3783" spans="1:7" x14ac:dyDescent="0.35">
      <c r="A3783" t="s">
        <v>17</v>
      </c>
    </row>
    <row r="3784" spans="1:7" x14ac:dyDescent="0.35">
      <c r="A3784" t="s">
        <v>23</v>
      </c>
    </row>
    <row r="3785" spans="1:7" x14ac:dyDescent="0.35">
      <c r="A3785" t="s">
        <v>1</v>
      </c>
      <c r="B3785" t="s">
        <v>87</v>
      </c>
    </row>
    <row r="3786" spans="1:7" x14ac:dyDescent="0.35">
      <c r="A3786" t="s">
        <v>38</v>
      </c>
    </row>
    <row r="3787" spans="1:7" x14ac:dyDescent="0.35">
      <c r="A3787" t="s">
        <v>5</v>
      </c>
    </row>
    <row r="3788" spans="1:7" x14ac:dyDescent="0.35">
      <c r="A3788" t="s">
        <v>50</v>
      </c>
      <c r="B3788" t="s">
        <v>51</v>
      </c>
      <c r="C3788" t="s">
        <v>52</v>
      </c>
      <c r="D3788" t="s">
        <v>63</v>
      </c>
    </row>
    <row r="3789" spans="1:7" x14ac:dyDescent="0.35">
      <c r="A3789" t="s">
        <v>10</v>
      </c>
    </row>
    <row r="3790" spans="1:7" x14ac:dyDescent="0.35">
      <c r="A3790" t="s">
        <v>1</v>
      </c>
    </row>
    <row r="3791" spans="1:7" x14ac:dyDescent="0.35">
      <c r="A3791" t="s">
        <v>56</v>
      </c>
      <c r="B3791" t="s">
        <v>57</v>
      </c>
      <c r="C3791" t="s">
        <v>171</v>
      </c>
      <c r="D3791" t="s">
        <v>172</v>
      </c>
      <c r="E3791" t="s">
        <v>173</v>
      </c>
    </row>
    <row r="3792" spans="1:7" x14ac:dyDescent="0.35">
      <c r="A3792" t="s">
        <v>10</v>
      </c>
    </row>
    <row r="3793" spans="1:8" x14ac:dyDescent="0.35">
      <c r="A3793" t="s">
        <v>100</v>
      </c>
      <c r="B3793" t="s">
        <v>101</v>
      </c>
      <c r="C3793" t="s">
        <v>102</v>
      </c>
    </row>
    <row r="3794" spans="1:8" x14ac:dyDescent="0.35">
      <c r="A3794" t="s">
        <v>11</v>
      </c>
    </row>
    <row r="3795" spans="1:8" x14ac:dyDescent="0.35">
      <c r="A3795" t="s">
        <v>1</v>
      </c>
    </row>
    <row r="3796" spans="1:8" x14ac:dyDescent="0.35">
      <c r="A3796" t="s">
        <v>81</v>
      </c>
      <c r="B3796" t="s">
        <v>11</v>
      </c>
    </row>
    <row r="3797" spans="1:8" x14ac:dyDescent="0.35">
      <c r="A3797" t="s">
        <v>4</v>
      </c>
    </row>
    <row r="3798" spans="1:8" x14ac:dyDescent="0.35">
      <c r="A3798" t="s">
        <v>138</v>
      </c>
      <c r="B3798" t="s">
        <v>202</v>
      </c>
      <c r="C3798" t="s">
        <v>139</v>
      </c>
      <c r="D3798" t="s">
        <v>140</v>
      </c>
      <c r="E3798" t="s">
        <v>141</v>
      </c>
      <c r="F3798" t="s">
        <v>142</v>
      </c>
      <c r="G3798" t="s">
        <v>124</v>
      </c>
      <c r="H3798" t="s">
        <v>264</v>
      </c>
    </row>
    <row r="3799" spans="1:8" x14ac:dyDescent="0.35">
      <c r="A3799" t="s">
        <v>148</v>
      </c>
      <c r="B3799" t="s">
        <v>18</v>
      </c>
    </row>
    <row r="3800" spans="1:8" x14ac:dyDescent="0.35">
      <c r="A3800" t="s">
        <v>5</v>
      </c>
    </row>
    <row r="3801" spans="1:8" x14ac:dyDescent="0.35">
      <c r="A3801" t="s">
        <v>33</v>
      </c>
    </row>
    <row r="3802" spans="1:8" x14ac:dyDescent="0.35">
      <c r="A3802" t="s">
        <v>50</v>
      </c>
      <c r="B3802" t="s">
        <v>51</v>
      </c>
      <c r="C3802" t="s">
        <v>52</v>
      </c>
      <c r="D3802" t="s">
        <v>63</v>
      </c>
    </row>
    <row r="3803" spans="1:8" x14ac:dyDescent="0.35">
      <c r="A3803" t="s">
        <v>162</v>
      </c>
      <c r="B3803" t="s">
        <v>124</v>
      </c>
    </row>
    <row r="3804" spans="1:8" x14ac:dyDescent="0.35">
      <c r="A3804" t="s">
        <v>18</v>
      </c>
      <c r="B3804" t="s">
        <v>160</v>
      </c>
    </row>
    <row r="3805" spans="1:8" x14ac:dyDescent="0.35">
      <c r="A3805" t="s">
        <v>50</v>
      </c>
      <c r="B3805" t="s">
        <v>51</v>
      </c>
      <c r="C3805" t="s">
        <v>52</v>
      </c>
      <c r="D3805" t="s">
        <v>63</v>
      </c>
    </row>
    <row r="3806" spans="1:8" x14ac:dyDescent="0.35">
      <c r="A3806" t="s">
        <v>50</v>
      </c>
      <c r="B3806" t="s">
        <v>51</v>
      </c>
      <c r="C3806" t="s">
        <v>52</v>
      </c>
    </row>
    <row r="3807" spans="1:8" x14ac:dyDescent="0.35">
      <c r="A3807" t="s">
        <v>50</v>
      </c>
      <c r="B3807" t="s">
        <v>51</v>
      </c>
      <c r="C3807" t="s">
        <v>52</v>
      </c>
      <c r="D3807" t="s">
        <v>63</v>
      </c>
    </row>
    <row r="3808" spans="1:8" x14ac:dyDescent="0.35">
      <c r="A3808" t="s">
        <v>18</v>
      </c>
      <c r="B3808" t="s">
        <v>225</v>
      </c>
    </row>
    <row r="3809" spans="1:5" x14ac:dyDescent="0.35">
      <c r="A3809" t="s">
        <v>11</v>
      </c>
    </row>
    <row r="3810" spans="1:5" x14ac:dyDescent="0.35">
      <c r="A3810" t="s">
        <v>12</v>
      </c>
    </row>
    <row r="3811" spans="1:5" x14ac:dyDescent="0.35">
      <c r="A3811" t="s">
        <v>17</v>
      </c>
    </row>
    <row r="3812" spans="1:5" x14ac:dyDescent="0.35">
      <c r="A3812" t="s">
        <v>15</v>
      </c>
    </row>
    <row r="3813" spans="1:5" x14ac:dyDescent="0.35">
      <c r="A3813" t="s">
        <v>56</v>
      </c>
      <c r="B3813" t="s">
        <v>57</v>
      </c>
      <c r="C3813" t="s">
        <v>171</v>
      </c>
      <c r="D3813" t="s">
        <v>172</v>
      </c>
      <c r="E3813" t="s">
        <v>173</v>
      </c>
    </row>
    <row r="3814" spans="1:5" x14ac:dyDescent="0.35">
      <c r="A3814" t="s">
        <v>31</v>
      </c>
    </row>
    <row r="3815" spans="1:5" x14ac:dyDescent="0.35">
      <c r="A3815" t="s">
        <v>7</v>
      </c>
    </row>
    <row r="3816" spans="1:5" x14ac:dyDescent="0.35">
      <c r="A3816" t="s">
        <v>56</v>
      </c>
      <c r="B3816" t="s">
        <v>57</v>
      </c>
      <c r="C3816" t="s">
        <v>171</v>
      </c>
      <c r="D3816" t="s">
        <v>172</v>
      </c>
      <c r="E3816" t="s">
        <v>173</v>
      </c>
    </row>
    <row r="3817" spans="1:5" x14ac:dyDescent="0.35">
      <c r="A3817" t="s">
        <v>81</v>
      </c>
      <c r="B3817" t="s">
        <v>11</v>
      </c>
    </row>
    <row r="3818" spans="1:5" x14ac:dyDescent="0.35">
      <c r="A3818" t="s">
        <v>155</v>
      </c>
      <c r="B3818" t="s">
        <v>156</v>
      </c>
      <c r="C3818" t="s">
        <v>157</v>
      </c>
    </row>
    <row r="3819" spans="1:5" x14ac:dyDescent="0.35">
      <c r="A3819" t="s">
        <v>100</v>
      </c>
      <c r="B3819" t="s">
        <v>102</v>
      </c>
    </row>
    <row r="3820" spans="1:5" x14ac:dyDescent="0.35">
      <c r="A3820" t="s">
        <v>115</v>
      </c>
      <c r="B3820" t="s">
        <v>11</v>
      </c>
    </row>
    <row r="3821" spans="1:5" x14ac:dyDescent="0.35">
      <c r="A3821" t="s">
        <v>12</v>
      </c>
    </row>
    <row r="3822" spans="1:5" x14ac:dyDescent="0.35">
      <c r="A3822" t="s">
        <v>3</v>
      </c>
    </row>
    <row r="3823" spans="1:5" x14ac:dyDescent="0.35">
      <c r="A3823" t="s">
        <v>9</v>
      </c>
    </row>
    <row r="3824" spans="1:5" x14ac:dyDescent="0.35">
      <c r="A3824" t="s">
        <v>50</v>
      </c>
      <c r="B3824" t="s">
        <v>51</v>
      </c>
      <c r="C3824" t="s">
        <v>52</v>
      </c>
    </row>
    <row r="3825" spans="1:6" x14ac:dyDescent="0.35">
      <c r="A3825" t="s">
        <v>17</v>
      </c>
    </row>
    <row r="3826" spans="1:6" x14ac:dyDescent="0.35">
      <c r="A3826" t="s">
        <v>8</v>
      </c>
    </row>
    <row r="3827" spans="1:6" x14ac:dyDescent="0.35">
      <c r="A3827" t="s">
        <v>1</v>
      </c>
    </row>
    <row r="3828" spans="1:6" x14ac:dyDescent="0.35">
      <c r="A3828" t="s">
        <v>27</v>
      </c>
    </row>
    <row r="3829" spans="1:6" x14ac:dyDescent="0.35">
      <c r="A3829" t="s">
        <v>1</v>
      </c>
    </row>
    <row r="3830" spans="1:6" x14ac:dyDescent="0.35">
      <c r="A3830" t="s">
        <v>7</v>
      </c>
    </row>
    <row r="3831" spans="1:6" x14ac:dyDescent="0.35">
      <c r="A3831" t="s">
        <v>108</v>
      </c>
      <c r="B3831" t="s">
        <v>11</v>
      </c>
    </row>
    <row r="3832" spans="1:6" x14ac:dyDescent="0.35">
      <c r="A3832" t="s">
        <v>126</v>
      </c>
      <c r="B3832" t="s">
        <v>127</v>
      </c>
    </row>
    <row r="3833" spans="1:6" x14ac:dyDescent="0.35">
      <c r="A3833" t="s">
        <v>96</v>
      </c>
      <c r="B3833" t="s">
        <v>18</v>
      </c>
    </row>
    <row r="3834" spans="1:6" x14ac:dyDescent="0.35">
      <c r="A3834" t="s">
        <v>64</v>
      </c>
      <c r="B3834" t="s">
        <v>65</v>
      </c>
      <c r="C3834" t="s">
        <v>66</v>
      </c>
      <c r="D3834" t="s">
        <v>18</v>
      </c>
      <c r="E3834" t="s">
        <v>67</v>
      </c>
      <c r="F3834" t="s">
        <v>68</v>
      </c>
    </row>
    <row r="3835" spans="1:6" x14ac:dyDescent="0.35">
      <c r="A3835" t="s">
        <v>17</v>
      </c>
    </row>
    <row r="3836" spans="1:6" x14ac:dyDescent="0.35">
      <c r="A3836" t="s">
        <v>12</v>
      </c>
    </row>
    <row r="3837" spans="1:6" x14ac:dyDescent="0.35">
      <c r="A3837" t="s">
        <v>96</v>
      </c>
      <c r="B3837" t="s">
        <v>18</v>
      </c>
    </row>
    <row r="3838" spans="1:6" x14ac:dyDescent="0.35">
      <c r="A3838" t="s">
        <v>174</v>
      </c>
      <c r="B3838" t="s">
        <v>151</v>
      </c>
      <c r="C3838" t="s">
        <v>152</v>
      </c>
      <c r="D3838" t="s">
        <v>153</v>
      </c>
    </row>
    <row r="3839" spans="1:6" x14ac:dyDescent="0.35">
      <c r="A3839" t="s">
        <v>50</v>
      </c>
      <c r="B3839" t="s">
        <v>51</v>
      </c>
      <c r="C3839" t="s">
        <v>52</v>
      </c>
    </row>
    <row r="3840" spans="1:6" x14ac:dyDescent="0.35">
      <c r="A3840" t="s">
        <v>3</v>
      </c>
    </row>
    <row r="3841" spans="1:9" x14ac:dyDescent="0.35">
      <c r="A3841" t="s">
        <v>3</v>
      </c>
    </row>
    <row r="3842" spans="1:9" x14ac:dyDescent="0.35">
      <c r="A3842" t="s">
        <v>11</v>
      </c>
    </row>
    <row r="3843" spans="1:9" x14ac:dyDescent="0.35">
      <c r="A3843" t="s">
        <v>96</v>
      </c>
      <c r="B3843" t="s">
        <v>18</v>
      </c>
    </row>
    <row r="3844" spans="1:9" x14ac:dyDescent="0.35">
      <c r="A3844" t="s">
        <v>96</v>
      </c>
      <c r="B3844" t="s">
        <v>176</v>
      </c>
      <c r="C3844" t="s">
        <v>66</v>
      </c>
      <c r="D3844" t="s">
        <v>18</v>
      </c>
      <c r="E3844" t="s">
        <v>67</v>
      </c>
      <c r="F3844" t="s">
        <v>68</v>
      </c>
    </row>
    <row r="3845" spans="1:9" x14ac:dyDescent="0.35">
      <c r="A3845" t="s">
        <v>64</v>
      </c>
      <c r="B3845" t="s">
        <v>66</v>
      </c>
      <c r="C3845" t="s">
        <v>18</v>
      </c>
      <c r="D3845" t="s">
        <v>67</v>
      </c>
      <c r="E3845" t="s">
        <v>68</v>
      </c>
    </row>
    <row r="3846" spans="1:9" x14ac:dyDescent="0.35">
      <c r="A3846" t="s">
        <v>138</v>
      </c>
      <c r="B3846" t="s">
        <v>139</v>
      </c>
      <c r="C3846" t="s">
        <v>140</v>
      </c>
      <c r="D3846" t="s">
        <v>141</v>
      </c>
      <c r="E3846" t="s">
        <v>142</v>
      </c>
      <c r="F3846" t="s">
        <v>124</v>
      </c>
      <c r="G3846" t="s">
        <v>143</v>
      </c>
      <c r="H3846" t="s">
        <v>226</v>
      </c>
      <c r="I3846" t="s">
        <v>145</v>
      </c>
    </row>
    <row r="3847" spans="1:9" x14ac:dyDescent="0.35">
      <c r="A3847" t="s">
        <v>17</v>
      </c>
    </row>
    <row r="3848" spans="1:9" x14ac:dyDescent="0.35">
      <c r="A3848" t="s">
        <v>7</v>
      </c>
    </row>
    <row r="3849" spans="1:9" x14ac:dyDescent="0.35">
      <c r="A3849" t="s">
        <v>7</v>
      </c>
    </row>
    <row r="3850" spans="1:9" x14ac:dyDescent="0.35">
      <c r="A3850" t="s">
        <v>50</v>
      </c>
      <c r="B3850" t="s">
        <v>51</v>
      </c>
      <c r="C3850" t="s">
        <v>52</v>
      </c>
    </row>
    <row r="3851" spans="1:9" x14ac:dyDescent="0.35">
      <c r="A3851" t="s">
        <v>3</v>
      </c>
    </row>
    <row r="3852" spans="1:9" x14ac:dyDescent="0.35">
      <c r="A3852" t="s">
        <v>50</v>
      </c>
      <c r="B3852" t="s">
        <v>51</v>
      </c>
      <c r="C3852" t="s">
        <v>52</v>
      </c>
    </row>
    <row r="3853" spans="1:9" x14ac:dyDescent="0.35">
      <c r="A3853" t="s">
        <v>11</v>
      </c>
    </row>
    <row r="3854" spans="1:9" x14ac:dyDescent="0.35">
      <c r="A3854" t="s">
        <v>1</v>
      </c>
      <c r="B3854" t="s">
        <v>87</v>
      </c>
      <c r="C3854" t="s">
        <v>192</v>
      </c>
    </row>
    <row r="3855" spans="1:9" x14ac:dyDescent="0.35">
      <c r="A3855" t="s">
        <v>10</v>
      </c>
    </row>
    <row r="3856" spans="1:9" x14ac:dyDescent="0.35">
      <c r="A3856" t="s">
        <v>121</v>
      </c>
      <c r="B3856" t="s">
        <v>122</v>
      </c>
    </row>
    <row r="3857" spans="1:6" x14ac:dyDescent="0.35">
      <c r="A3857" t="s">
        <v>96</v>
      </c>
      <c r="B3857" t="s">
        <v>18</v>
      </c>
    </row>
    <row r="3858" spans="1:6" x14ac:dyDescent="0.35">
      <c r="A3858" t="s">
        <v>12</v>
      </c>
    </row>
    <row r="3859" spans="1:6" x14ac:dyDescent="0.35">
      <c r="A3859" t="s">
        <v>26</v>
      </c>
    </row>
    <row r="3860" spans="1:6" x14ac:dyDescent="0.35">
      <c r="A3860" t="s">
        <v>64</v>
      </c>
      <c r="B3860" t="s">
        <v>65</v>
      </c>
      <c r="C3860" t="s">
        <v>66</v>
      </c>
      <c r="D3860" t="s">
        <v>18</v>
      </c>
      <c r="E3860" t="s">
        <v>67</v>
      </c>
      <c r="F3860" t="s">
        <v>68</v>
      </c>
    </row>
    <row r="3861" spans="1:6" x14ac:dyDescent="0.35">
      <c r="A3861" t="s">
        <v>162</v>
      </c>
      <c r="B3861" t="s">
        <v>247</v>
      </c>
      <c r="C3861" t="s">
        <v>164</v>
      </c>
      <c r="D3861" t="s">
        <v>124</v>
      </c>
    </row>
    <row r="3862" spans="1:6" x14ac:dyDescent="0.35">
      <c r="A3862" t="s">
        <v>10</v>
      </c>
    </row>
    <row r="3863" spans="1:6" x14ac:dyDescent="0.35">
      <c r="A3863" t="s">
        <v>237</v>
      </c>
      <c r="B3863" t="s">
        <v>265</v>
      </c>
      <c r="C3863" t="s">
        <v>266</v>
      </c>
      <c r="D3863" t="s">
        <v>198</v>
      </c>
    </row>
    <row r="3864" spans="1:6" x14ac:dyDescent="0.35">
      <c r="A3864" t="s">
        <v>10</v>
      </c>
    </row>
    <row r="3865" spans="1:6" x14ac:dyDescent="0.35">
      <c r="A3865" t="s">
        <v>12</v>
      </c>
    </row>
    <row r="3866" spans="1:6" x14ac:dyDescent="0.35">
      <c r="A3866" t="s">
        <v>6</v>
      </c>
    </row>
    <row r="3867" spans="1:6" x14ac:dyDescent="0.35">
      <c r="A3867" t="s">
        <v>50</v>
      </c>
      <c r="B3867" t="s">
        <v>51</v>
      </c>
      <c r="C3867" t="s">
        <v>52</v>
      </c>
    </row>
    <row r="3868" spans="1:6" x14ac:dyDescent="0.35">
      <c r="A3868" t="s">
        <v>96</v>
      </c>
      <c r="B3868" t="s">
        <v>66</v>
      </c>
      <c r="C3868" t="s">
        <v>18</v>
      </c>
      <c r="D3868" t="s">
        <v>67</v>
      </c>
      <c r="E3868" t="s">
        <v>68</v>
      </c>
    </row>
    <row r="3869" spans="1:6" x14ac:dyDescent="0.35">
      <c r="A3869" t="s">
        <v>6</v>
      </c>
    </row>
    <row r="3870" spans="1:6" x14ac:dyDescent="0.35">
      <c r="A3870" t="s">
        <v>17</v>
      </c>
    </row>
    <row r="3871" spans="1:6" x14ac:dyDescent="0.35">
      <c r="A3871" t="s">
        <v>7</v>
      </c>
    </row>
    <row r="3872" spans="1:6" x14ac:dyDescent="0.35">
      <c r="A3872" t="s">
        <v>8</v>
      </c>
    </row>
    <row r="3873" spans="1:5" x14ac:dyDescent="0.35">
      <c r="A3873" t="s">
        <v>18</v>
      </c>
    </row>
    <row r="3874" spans="1:5" x14ac:dyDescent="0.35">
      <c r="A3874" t="s">
        <v>9</v>
      </c>
    </row>
    <row r="3875" spans="1:5" x14ac:dyDescent="0.35">
      <c r="A3875" t="s">
        <v>12</v>
      </c>
    </row>
    <row r="3876" spans="1:5" x14ac:dyDescent="0.35">
      <c r="A3876" t="s">
        <v>3</v>
      </c>
    </row>
    <row r="3877" spans="1:5" x14ac:dyDescent="0.35">
      <c r="A3877" t="s">
        <v>162</v>
      </c>
      <c r="B3877" t="s">
        <v>124</v>
      </c>
    </row>
    <row r="3878" spans="1:5" x14ac:dyDescent="0.35">
      <c r="A3878" t="s">
        <v>18</v>
      </c>
    </row>
    <row r="3879" spans="1:5" x14ac:dyDescent="0.35">
      <c r="A3879" t="s">
        <v>50</v>
      </c>
      <c r="B3879" t="s">
        <v>51</v>
      </c>
      <c r="C3879" t="s">
        <v>52</v>
      </c>
      <c r="D3879" t="s">
        <v>63</v>
      </c>
    </row>
    <row r="3880" spans="1:5" x14ac:dyDescent="0.35">
      <c r="A3880" t="s">
        <v>1</v>
      </c>
      <c r="B3880" t="s">
        <v>87</v>
      </c>
      <c r="C3880" t="s">
        <v>133</v>
      </c>
    </row>
    <row r="3881" spans="1:5" x14ac:dyDescent="0.35">
      <c r="A3881" t="s">
        <v>3</v>
      </c>
    </row>
    <row r="3882" spans="1:5" x14ac:dyDescent="0.35">
      <c r="A3882" t="s">
        <v>3</v>
      </c>
    </row>
    <row r="3883" spans="1:5" x14ac:dyDescent="0.35">
      <c r="A3883" t="s">
        <v>37</v>
      </c>
    </row>
    <row r="3884" spans="1:5" x14ac:dyDescent="0.35">
      <c r="A3884" t="s">
        <v>8</v>
      </c>
    </row>
    <row r="3885" spans="1:5" x14ac:dyDescent="0.35">
      <c r="A3885" t="s">
        <v>15</v>
      </c>
    </row>
    <row r="3886" spans="1:5" x14ac:dyDescent="0.35">
      <c r="A3886" t="s">
        <v>5</v>
      </c>
    </row>
    <row r="3887" spans="1:5" x14ac:dyDescent="0.35">
      <c r="A3887" t="s">
        <v>139</v>
      </c>
      <c r="B3887" t="s">
        <v>140</v>
      </c>
      <c r="C3887" t="s">
        <v>141</v>
      </c>
      <c r="D3887" t="s">
        <v>142</v>
      </c>
      <c r="E3887" t="s">
        <v>124</v>
      </c>
    </row>
    <row r="3888" spans="1:5" x14ac:dyDescent="0.35">
      <c r="A3888" t="s">
        <v>7</v>
      </c>
    </row>
    <row r="3889" spans="1:4" x14ac:dyDescent="0.35">
      <c r="A3889" t="s">
        <v>96</v>
      </c>
      <c r="B3889" t="s">
        <v>18</v>
      </c>
    </row>
    <row r="3890" spans="1:4" x14ac:dyDescent="0.35">
      <c r="A3890" t="s">
        <v>5</v>
      </c>
    </row>
    <row r="3891" spans="1:4" x14ac:dyDescent="0.35">
      <c r="A3891" t="s">
        <v>96</v>
      </c>
      <c r="B3891" t="s">
        <v>18</v>
      </c>
    </row>
    <row r="3892" spans="1:4" x14ac:dyDescent="0.35">
      <c r="A3892" t="s">
        <v>18</v>
      </c>
      <c r="B3892" t="s">
        <v>160</v>
      </c>
    </row>
    <row r="3893" spans="1:4" x14ac:dyDescent="0.35">
      <c r="A3893" t="s">
        <v>12</v>
      </c>
    </row>
    <row r="3894" spans="1:4" x14ac:dyDescent="0.35">
      <c r="A3894" t="s">
        <v>18</v>
      </c>
      <c r="B3894" t="s">
        <v>178</v>
      </c>
    </row>
    <row r="3895" spans="1:4" x14ac:dyDescent="0.35">
      <c r="A3895" t="s">
        <v>56</v>
      </c>
      <c r="B3895" t="s">
        <v>57</v>
      </c>
    </row>
    <row r="3896" spans="1:4" x14ac:dyDescent="0.35">
      <c r="A3896" t="s">
        <v>126</v>
      </c>
      <c r="B3896" t="s">
        <v>127</v>
      </c>
    </row>
    <row r="3897" spans="1:4" x14ac:dyDescent="0.35">
      <c r="A3897" t="s">
        <v>18</v>
      </c>
      <c r="B3897" t="s">
        <v>130</v>
      </c>
    </row>
    <row r="3898" spans="1:4" x14ac:dyDescent="0.35">
      <c r="A3898" t="s">
        <v>18</v>
      </c>
    </row>
    <row r="3899" spans="1:4" x14ac:dyDescent="0.35">
      <c r="A3899" t="s">
        <v>44</v>
      </c>
    </row>
    <row r="3900" spans="1:4" x14ac:dyDescent="0.35">
      <c r="A3900" t="s">
        <v>149</v>
      </c>
      <c r="B3900" t="s">
        <v>109</v>
      </c>
      <c r="C3900" t="s">
        <v>110</v>
      </c>
      <c r="D3900" t="s">
        <v>111</v>
      </c>
    </row>
    <row r="3901" spans="1:4" x14ac:dyDescent="0.35">
      <c r="A3901" t="s">
        <v>100</v>
      </c>
      <c r="B3901" t="s">
        <v>101</v>
      </c>
      <c r="C3901" t="s">
        <v>102</v>
      </c>
    </row>
    <row r="3902" spans="1:4" x14ac:dyDescent="0.35">
      <c r="A3902" t="s">
        <v>18</v>
      </c>
      <c r="B3902" t="s">
        <v>130</v>
      </c>
    </row>
    <row r="3903" spans="1:4" x14ac:dyDescent="0.35">
      <c r="A3903" t="s">
        <v>1</v>
      </c>
    </row>
    <row r="3904" spans="1:4" x14ac:dyDescent="0.35">
      <c r="A3904" t="s">
        <v>96</v>
      </c>
      <c r="B3904" t="s">
        <v>200</v>
      </c>
      <c r="C3904" t="s">
        <v>18</v>
      </c>
    </row>
    <row r="3905" spans="1:6" x14ac:dyDescent="0.35">
      <c r="A3905" t="s">
        <v>64</v>
      </c>
      <c r="B3905" t="s">
        <v>65</v>
      </c>
      <c r="C3905" t="s">
        <v>66</v>
      </c>
      <c r="D3905" t="s">
        <v>18</v>
      </c>
      <c r="E3905" t="s">
        <v>67</v>
      </c>
      <c r="F3905" t="s">
        <v>68</v>
      </c>
    </row>
    <row r="3906" spans="1:6" x14ac:dyDescent="0.35">
      <c r="A3906" t="s">
        <v>96</v>
      </c>
      <c r="B3906" t="s">
        <v>176</v>
      </c>
      <c r="C3906" t="s">
        <v>66</v>
      </c>
      <c r="D3906" t="s">
        <v>18</v>
      </c>
      <c r="E3906" t="s">
        <v>67</v>
      </c>
      <c r="F3906" t="s">
        <v>68</v>
      </c>
    </row>
    <row r="3907" spans="1:6" x14ac:dyDescent="0.35">
      <c r="A3907" t="s">
        <v>1</v>
      </c>
      <c r="B3907" t="s">
        <v>87</v>
      </c>
      <c r="C3907" t="s">
        <v>133</v>
      </c>
    </row>
    <row r="3908" spans="1:6" x14ac:dyDescent="0.35">
      <c r="A3908" t="s">
        <v>108</v>
      </c>
      <c r="B3908" t="s">
        <v>11</v>
      </c>
    </row>
    <row r="3909" spans="1:6" x14ac:dyDescent="0.35">
      <c r="A3909" t="s">
        <v>64</v>
      </c>
      <c r="B3909" t="s">
        <v>66</v>
      </c>
      <c r="C3909" t="s">
        <v>18</v>
      </c>
      <c r="D3909" t="s">
        <v>67</v>
      </c>
      <c r="E3909" t="s">
        <v>68</v>
      </c>
    </row>
    <row r="3910" spans="1:6" x14ac:dyDescent="0.35">
      <c r="A3910" t="s">
        <v>12</v>
      </c>
    </row>
    <row r="3911" spans="1:6" x14ac:dyDescent="0.35">
      <c r="A3911" t="s">
        <v>1</v>
      </c>
      <c r="B3911" t="s">
        <v>135</v>
      </c>
    </row>
    <row r="3912" spans="1:6" x14ac:dyDescent="0.35">
      <c r="A3912" t="s">
        <v>56</v>
      </c>
      <c r="B3912" t="s">
        <v>57</v>
      </c>
    </row>
    <row r="3913" spans="1:6" x14ac:dyDescent="0.35">
      <c r="A3913" t="s">
        <v>64</v>
      </c>
      <c r="B3913" t="s">
        <v>18</v>
      </c>
    </row>
    <row r="3914" spans="1:6" x14ac:dyDescent="0.35">
      <c r="A3914" t="s">
        <v>1</v>
      </c>
    </row>
    <row r="3915" spans="1:6" x14ac:dyDescent="0.35">
      <c r="A3915" t="s">
        <v>50</v>
      </c>
      <c r="B3915" t="s">
        <v>51</v>
      </c>
      <c r="C3915" t="s">
        <v>52</v>
      </c>
    </row>
    <row r="3916" spans="1:6" x14ac:dyDescent="0.35">
      <c r="A3916" t="s">
        <v>96</v>
      </c>
      <c r="B3916" t="s">
        <v>18</v>
      </c>
    </row>
    <row r="3917" spans="1:6" x14ac:dyDescent="0.35">
      <c r="A3917" t="s">
        <v>17</v>
      </c>
    </row>
    <row r="3918" spans="1:6" x14ac:dyDescent="0.35">
      <c r="A3918" t="s">
        <v>3</v>
      </c>
    </row>
    <row r="3919" spans="1:6" x14ac:dyDescent="0.35">
      <c r="A3919" t="s">
        <v>12</v>
      </c>
    </row>
    <row r="3920" spans="1:6" x14ac:dyDescent="0.35">
      <c r="A3920" t="s">
        <v>10</v>
      </c>
    </row>
    <row r="3921" spans="1:6" x14ac:dyDescent="0.35">
      <c r="A3921" t="s">
        <v>11</v>
      </c>
    </row>
    <row r="3922" spans="1:6" x14ac:dyDescent="0.35">
      <c r="A3922" t="s">
        <v>7</v>
      </c>
    </row>
    <row r="3923" spans="1:6" x14ac:dyDescent="0.35">
      <c r="A3923" t="s">
        <v>64</v>
      </c>
      <c r="B3923" t="s">
        <v>66</v>
      </c>
      <c r="C3923" t="s">
        <v>18</v>
      </c>
      <c r="D3923" t="s">
        <v>67</v>
      </c>
      <c r="E3923" t="s">
        <v>68</v>
      </c>
    </row>
    <row r="3924" spans="1:6" x14ac:dyDescent="0.35">
      <c r="A3924" t="s">
        <v>10</v>
      </c>
    </row>
    <row r="3925" spans="1:6" x14ac:dyDescent="0.35">
      <c r="A3925" t="s">
        <v>50</v>
      </c>
      <c r="B3925" t="s">
        <v>51</v>
      </c>
      <c r="C3925" t="s">
        <v>52</v>
      </c>
      <c r="D3925" t="s">
        <v>63</v>
      </c>
    </row>
    <row r="3926" spans="1:6" x14ac:dyDescent="0.35">
      <c r="A3926" t="s">
        <v>7</v>
      </c>
    </row>
    <row r="3927" spans="1:6" x14ac:dyDescent="0.35">
      <c r="A3927" t="s">
        <v>96</v>
      </c>
      <c r="B3927" t="s">
        <v>200</v>
      </c>
      <c r="C3927" t="s">
        <v>18</v>
      </c>
    </row>
    <row r="3928" spans="1:6" x14ac:dyDescent="0.35">
      <c r="A3928" t="s">
        <v>64</v>
      </c>
      <c r="B3928" t="s">
        <v>65</v>
      </c>
      <c r="C3928" t="s">
        <v>66</v>
      </c>
      <c r="D3928" t="s">
        <v>18</v>
      </c>
      <c r="E3928" t="s">
        <v>67</v>
      </c>
      <c r="F3928" t="s">
        <v>68</v>
      </c>
    </row>
    <row r="3929" spans="1:6" x14ac:dyDescent="0.35">
      <c r="A3929" t="s">
        <v>7</v>
      </c>
    </row>
    <row r="3930" spans="1:6" x14ac:dyDescent="0.35">
      <c r="A3930" t="s">
        <v>10</v>
      </c>
    </row>
    <row r="3931" spans="1:6" x14ac:dyDescent="0.35">
      <c r="A3931" t="s">
        <v>1</v>
      </c>
    </row>
    <row r="3932" spans="1:6" x14ac:dyDescent="0.35">
      <c r="A3932" t="s">
        <v>64</v>
      </c>
      <c r="B3932" t="s">
        <v>65</v>
      </c>
      <c r="C3932" t="s">
        <v>66</v>
      </c>
      <c r="D3932" t="s">
        <v>18</v>
      </c>
      <c r="E3932" t="s">
        <v>67</v>
      </c>
      <c r="F3932" t="s">
        <v>68</v>
      </c>
    </row>
    <row r="3933" spans="1:6" x14ac:dyDescent="0.35">
      <c r="A3933" t="s">
        <v>1</v>
      </c>
    </row>
    <row r="3934" spans="1:6" x14ac:dyDescent="0.35">
      <c r="A3934" t="s">
        <v>1</v>
      </c>
      <c r="B3934" t="s">
        <v>135</v>
      </c>
    </row>
    <row r="3935" spans="1:6" x14ac:dyDescent="0.35">
      <c r="A3935" t="s">
        <v>1</v>
      </c>
    </row>
    <row r="3936" spans="1:6" x14ac:dyDescent="0.35">
      <c r="A3936" t="s">
        <v>3</v>
      </c>
    </row>
    <row r="3937" spans="1:6" x14ac:dyDescent="0.35">
      <c r="A3937" t="s">
        <v>50</v>
      </c>
      <c r="B3937" t="s">
        <v>51</v>
      </c>
      <c r="C3937" t="s">
        <v>52</v>
      </c>
      <c r="D3937" t="s">
        <v>72</v>
      </c>
      <c r="E3937" t="s">
        <v>73</v>
      </c>
    </row>
    <row r="3938" spans="1:6" x14ac:dyDescent="0.35">
      <c r="A3938" t="s">
        <v>56</v>
      </c>
      <c r="B3938" t="s">
        <v>57</v>
      </c>
      <c r="C3938" t="s">
        <v>171</v>
      </c>
      <c r="D3938" t="s">
        <v>172</v>
      </c>
      <c r="E3938" t="s">
        <v>173</v>
      </c>
    </row>
    <row r="3939" spans="1:6" x14ac:dyDescent="0.35">
      <c r="A3939" t="s">
        <v>64</v>
      </c>
      <c r="B3939" t="s">
        <v>66</v>
      </c>
      <c r="C3939" t="s">
        <v>18</v>
      </c>
      <c r="D3939" t="s">
        <v>67</v>
      </c>
      <c r="E3939" t="s">
        <v>68</v>
      </c>
    </row>
    <row r="3940" spans="1:6" x14ac:dyDescent="0.35">
      <c r="A3940" t="s">
        <v>64</v>
      </c>
      <c r="B3940" t="s">
        <v>65</v>
      </c>
      <c r="C3940" t="s">
        <v>66</v>
      </c>
      <c r="D3940" t="s">
        <v>18</v>
      </c>
      <c r="E3940" t="s">
        <v>67</v>
      </c>
      <c r="F3940" t="s">
        <v>68</v>
      </c>
    </row>
    <row r="3941" spans="1:6" x14ac:dyDescent="0.35">
      <c r="A3941" t="s">
        <v>7</v>
      </c>
    </row>
    <row r="3942" spans="1:6" x14ac:dyDescent="0.35">
      <c r="A3942" t="s">
        <v>64</v>
      </c>
      <c r="B3942" t="s">
        <v>18</v>
      </c>
    </row>
    <row r="3943" spans="1:6" x14ac:dyDescent="0.35">
      <c r="A3943" t="s">
        <v>50</v>
      </c>
      <c r="B3943" t="s">
        <v>51</v>
      </c>
      <c r="C3943" t="s">
        <v>52</v>
      </c>
      <c r="D3943" t="s">
        <v>63</v>
      </c>
    </row>
    <row r="3944" spans="1:6" x14ac:dyDescent="0.35">
      <c r="A3944" t="s">
        <v>1</v>
      </c>
      <c r="B3944" t="s">
        <v>87</v>
      </c>
      <c r="C3944" t="s">
        <v>131</v>
      </c>
    </row>
    <row r="3945" spans="1:6" x14ac:dyDescent="0.35">
      <c r="A3945" t="s">
        <v>10</v>
      </c>
    </row>
    <row r="3946" spans="1:6" x14ac:dyDescent="0.35">
      <c r="A3946" t="s">
        <v>7</v>
      </c>
    </row>
    <row r="3947" spans="1:6" x14ac:dyDescent="0.35">
      <c r="A3947" t="s">
        <v>50</v>
      </c>
      <c r="B3947" t="s">
        <v>51</v>
      </c>
      <c r="C3947" t="s">
        <v>52</v>
      </c>
      <c r="D3947" t="s">
        <v>63</v>
      </c>
    </row>
    <row r="3948" spans="1:6" x14ac:dyDescent="0.35">
      <c r="A3948" t="s">
        <v>1</v>
      </c>
      <c r="B3948" t="s">
        <v>87</v>
      </c>
      <c r="C3948" t="s">
        <v>170</v>
      </c>
    </row>
    <row r="3949" spans="1:6" x14ac:dyDescent="0.35">
      <c r="A3949" t="s">
        <v>9</v>
      </c>
    </row>
    <row r="3950" spans="1:6" x14ac:dyDescent="0.35">
      <c r="A3950" t="s">
        <v>7</v>
      </c>
    </row>
    <row r="3951" spans="1:6" x14ac:dyDescent="0.35">
      <c r="A3951" t="s">
        <v>10</v>
      </c>
    </row>
    <row r="3952" spans="1:6" x14ac:dyDescent="0.35">
      <c r="A3952" t="s">
        <v>17</v>
      </c>
    </row>
    <row r="3953" spans="1:6" x14ac:dyDescent="0.35">
      <c r="A3953" t="s">
        <v>81</v>
      </c>
      <c r="B3953" t="s">
        <v>11</v>
      </c>
    </row>
    <row r="3954" spans="1:6" x14ac:dyDescent="0.35">
      <c r="A3954" t="s">
        <v>56</v>
      </c>
      <c r="B3954" t="s">
        <v>57</v>
      </c>
    </row>
    <row r="3955" spans="1:6" x14ac:dyDescent="0.35">
      <c r="A3955" t="s">
        <v>18</v>
      </c>
    </row>
    <row r="3956" spans="1:6" x14ac:dyDescent="0.35">
      <c r="A3956" t="s">
        <v>96</v>
      </c>
      <c r="B3956" t="s">
        <v>18</v>
      </c>
    </row>
    <row r="3957" spans="1:6" x14ac:dyDescent="0.35">
      <c r="A3957" t="s">
        <v>17</v>
      </c>
    </row>
    <row r="3958" spans="1:6" x14ac:dyDescent="0.35">
      <c r="A3958" t="s">
        <v>56</v>
      </c>
      <c r="B3958" t="s">
        <v>57</v>
      </c>
    </row>
    <row r="3959" spans="1:6" x14ac:dyDescent="0.35">
      <c r="A3959" t="s">
        <v>23</v>
      </c>
    </row>
    <row r="3960" spans="1:6" x14ac:dyDescent="0.35">
      <c r="A3960" t="s">
        <v>37</v>
      </c>
    </row>
    <row r="3961" spans="1:6" x14ac:dyDescent="0.35">
      <c r="A3961" t="s">
        <v>17</v>
      </c>
    </row>
    <row r="3962" spans="1:6" x14ac:dyDescent="0.35">
      <c r="A3962" t="s">
        <v>27</v>
      </c>
    </row>
    <row r="3963" spans="1:6" x14ac:dyDescent="0.35">
      <c r="A3963" t="s">
        <v>34</v>
      </c>
    </row>
    <row r="3964" spans="1:6" x14ac:dyDescent="0.35">
      <c r="A3964" t="s">
        <v>7</v>
      </c>
    </row>
    <row r="3965" spans="1:6" x14ac:dyDescent="0.35">
      <c r="A3965" t="s">
        <v>50</v>
      </c>
      <c r="B3965" t="s">
        <v>70</v>
      </c>
      <c r="C3965" t="s">
        <v>51</v>
      </c>
      <c r="D3965" t="s">
        <v>52</v>
      </c>
      <c r="E3965" t="s">
        <v>63</v>
      </c>
      <c r="F3965" t="s">
        <v>71</v>
      </c>
    </row>
    <row r="3966" spans="1:6" x14ac:dyDescent="0.35">
      <c r="A3966" t="s">
        <v>64</v>
      </c>
      <c r="B3966" t="s">
        <v>65</v>
      </c>
      <c r="C3966" t="s">
        <v>66</v>
      </c>
      <c r="D3966" t="s">
        <v>18</v>
      </c>
      <c r="E3966" t="s">
        <v>67</v>
      </c>
      <c r="F3966" t="s">
        <v>68</v>
      </c>
    </row>
    <row r="3967" spans="1:6" x14ac:dyDescent="0.35">
      <c r="A3967" t="s">
        <v>7</v>
      </c>
    </row>
    <row r="3968" spans="1:6" x14ac:dyDescent="0.35">
      <c r="A3968" t="s">
        <v>56</v>
      </c>
      <c r="B3968" t="s">
        <v>57</v>
      </c>
      <c r="C3968" t="s">
        <v>99</v>
      </c>
    </row>
    <row r="3969" spans="1:4" x14ac:dyDescent="0.35">
      <c r="A3969" t="s">
        <v>50</v>
      </c>
      <c r="B3969" t="s">
        <v>51</v>
      </c>
      <c r="C3969" t="s">
        <v>52</v>
      </c>
      <c r="D3969" t="s">
        <v>92</v>
      </c>
    </row>
    <row r="3970" spans="1:4" x14ac:dyDescent="0.35">
      <c r="A3970" t="s">
        <v>162</v>
      </c>
      <c r="B3970" t="s">
        <v>124</v>
      </c>
    </row>
    <row r="3971" spans="1:4" x14ac:dyDescent="0.35">
      <c r="A3971" t="s">
        <v>8</v>
      </c>
    </row>
    <row r="3972" spans="1:4" x14ac:dyDescent="0.35">
      <c r="A3972" t="s">
        <v>159</v>
      </c>
      <c r="B3972" t="s">
        <v>11</v>
      </c>
    </row>
    <row r="3973" spans="1:4" x14ac:dyDescent="0.35">
      <c r="A3973" t="s">
        <v>11</v>
      </c>
    </row>
    <row r="3974" spans="1:4" x14ac:dyDescent="0.35">
      <c r="A3974" t="s">
        <v>7</v>
      </c>
    </row>
    <row r="3975" spans="1:4" x14ac:dyDescent="0.35">
      <c r="A3975" t="s">
        <v>6</v>
      </c>
    </row>
    <row r="3976" spans="1:4" x14ac:dyDescent="0.35">
      <c r="A3976" t="s">
        <v>1</v>
      </c>
    </row>
    <row r="3977" spans="1:4" x14ac:dyDescent="0.35">
      <c r="A3977" t="s">
        <v>50</v>
      </c>
      <c r="B3977" t="s">
        <v>51</v>
      </c>
      <c r="C3977" t="s">
        <v>52</v>
      </c>
      <c r="D3977" t="s">
        <v>63</v>
      </c>
    </row>
    <row r="3978" spans="1:4" x14ac:dyDescent="0.35">
      <c r="A3978" t="s">
        <v>3</v>
      </c>
    </row>
    <row r="3979" spans="1:4" x14ac:dyDescent="0.35">
      <c r="A3979" t="s">
        <v>17</v>
      </c>
    </row>
    <row r="3980" spans="1:4" x14ac:dyDescent="0.35">
      <c r="A3980" t="s">
        <v>100</v>
      </c>
      <c r="B3980" t="s">
        <v>102</v>
      </c>
    </row>
    <row r="3981" spans="1:4" x14ac:dyDescent="0.35">
      <c r="A3981" t="s">
        <v>1</v>
      </c>
    </row>
    <row r="3982" spans="1:4" x14ac:dyDescent="0.35">
      <c r="A3982" t="s">
        <v>1</v>
      </c>
      <c r="B3982" t="s">
        <v>87</v>
      </c>
      <c r="C3982" t="s">
        <v>235</v>
      </c>
    </row>
    <row r="3983" spans="1:4" x14ac:dyDescent="0.35">
      <c r="A3983" t="s">
        <v>10</v>
      </c>
    </row>
    <row r="3984" spans="1:4" x14ac:dyDescent="0.35">
      <c r="A3984" t="s">
        <v>7</v>
      </c>
    </row>
    <row r="3985" spans="1:9" x14ac:dyDescent="0.35">
      <c r="A3985" t="s">
        <v>123</v>
      </c>
      <c r="B3985" t="s">
        <v>124</v>
      </c>
      <c r="C3985" t="s">
        <v>125</v>
      </c>
    </row>
    <row r="3986" spans="1:9" x14ac:dyDescent="0.35">
      <c r="A3986" t="s">
        <v>162</v>
      </c>
      <c r="B3986" t="s">
        <v>163</v>
      </c>
      <c r="C3986" t="s">
        <v>164</v>
      </c>
      <c r="D3986" t="s">
        <v>124</v>
      </c>
    </row>
    <row r="3987" spans="1:9" x14ac:dyDescent="0.35">
      <c r="A3987" t="s">
        <v>1</v>
      </c>
    </row>
    <row r="3988" spans="1:9" x14ac:dyDescent="0.35">
      <c r="A3988" t="s">
        <v>64</v>
      </c>
      <c r="B3988" t="s">
        <v>66</v>
      </c>
      <c r="C3988" t="s">
        <v>18</v>
      </c>
      <c r="D3988" t="s">
        <v>67</v>
      </c>
      <c r="E3988" t="s">
        <v>68</v>
      </c>
    </row>
    <row r="3989" spans="1:9" x14ac:dyDescent="0.35">
      <c r="A3989" t="s">
        <v>15</v>
      </c>
    </row>
    <row r="3990" spans="1:9" x14ac:dyDescent="0.35">
      <c r="A3990" t="s">
        <v>50</v>
      </c>
      <c r="B3990" t="s">
        <v>51</v>
      </c>
      <c r="C3990" t="s">
        <v>52</v>
      </c>
      <c r="D3990" t="s">
        <v>74</v>
      </c>
      <c r="E3990" t="s">
        <v>75</v>
      </c>
    </row>
    <row r="3991" spans="1:9" x14ac:dyDescent="0.35">
      <c r="A3991" t="s">
        <v>50</v>
      </c>
      <c r="B3991" t="s">
        <v>51</v>
      </c>
      <c r="C3991" t="s">
        <v>52</v>
      </c>
      <c r="D3991" t="s">
        <v>63</v>
      </c>
    </row>
    <row r="3992" spans="1:9" x14ac:dyDescent="0.35">
      <c r="A3992" t="s">
        <v>165</v>
      </c>
      <c r="B3992" t="s">
        <v>1</v>
      </c>
    </row>
    <row r="3993" spans="1:9" x14ac:dyDescent="0.35">
      <c r="A3993" t="s">
        <v>50</v>
      </c>
      <c r="B3993" t="s">
        <v>51</v>
      </c>
      <c r="C3993" t="s">
        <v>52</v>
      </c>
      <c r="D3993" t="s">
        <v>63</v>
      </c>
    </row>
    <row r="3994" spans="1:9" x14ac:dyDescent="0.35">
      <c r="A3994" t="s">
        <v>7</v>
      </c>
    </row>
    <row r="3995" spans="1:9" x14ac:dyDescent="0.35">
      <c r="A3995" t="s">
        <v>138</v>
      </c>
      <c r="B3995" t="s">
        <v>139</v>
      </c>
      <c r="C3995" t="s">
        <v>140</v>
      </c>
      <c r="D3995" t="s">
        <v>141</v>
      </c>
      <c r="E3995" t="s">
        <v>142</v>
      </c>
      <c r="F3995" t="s">
        <v>124</v>
      </c>
      <c r="G3995" t="s">
        <v>143</v>
      </c>
      <c r="H3995" t="s">
        <v>226</v>
      </c>
      <c r="I3995" t="s">
        <v>145</v>
      </c>
    </row>
    <row r="3996" spans="1:9" x14ac:dyDescent="0.35">
      <c r="A3996" t="s">
        <v>18</v>
      </c>
      <c r="B3996" t="s">
        <v>160</v>
      </c>
    </row>
    <row r="3997" spans="1:9" x14ac:dyDescent="0.35">
      <c r="A3997" t="s">
        <v>29</v>
      </c>
      <c r="B3997" t="s">
        <v>207</v>
      </c>
      <c r="C3997" t="s">
        <v>267</v>
      </c>
      <c r="D3997" t="s">
        <v>167</v>
      </c>
      <c r="E3997" t="s">
        <v>208</v>
      </c>
      <c r="F3997" t="s">
        <v>168</v>
      </c>
      <c r="G3997" t="s">
        <v>209</v>
      </c>
    </row>
    <row r="3998" spans="1:9" x14ac:dyDescent="0.35">
      <c r="A3998" t="s">
        <v>10</v>
      </c>
    </row>
    <row r="3999" spans="1:9" x14ac:dyDescent="0.35">
      <c r="A3999" t="s">
        <v>64</v>
      </c>
      <c r="B3999" t="s">
        <v>65</v>
      </c>
      <c r="C3999" t="s">
        <v>66</v>
      </c>
      <c r="D3999" t="s">
        <v>18</v>
      </c>
      <c r="E3999" t="s">
        <v>129</v>
      </c>
      <c r="F3999" t="s">
        <v>67</v>
      </c>
      <c r="G3999" t="s">
        <v>68</v>
      </c>
    </row>
    <row r="4000" spans="1:9" x14ac:dyDescent="0.35">
      <c r="A4000" t="s">
        <v>1</v>
      </c>
    </row>
    <row r="4001" spans="1:3" x14ac:dyDescent="0.35">
      <c r="A4001" t="s">
        <v>31</v>
      </c>
    </row>
    <row r="4002" spans="1:3" x14ac:dyDescent="0.35">
      <c r="A4002" t="s">
        <v>12</v>
      </c>
    </row>
    <row r="4003" spans="1:3" x14ac:dyDescent="0.35">
      <c r="A4003" t="s">
        <v>15</v>
      </c>
    </row>
    <row r="4004" spans="1:3" x14ac:dyDescent="0.35">
      <c r="A4004" t="s">
        <v>115</v>
      </c>
      <c r="B4004" t="s">
        <v>11</v>
      </c>
    </row>
    <row r="4005" spans="1:3" x14ac:dyDescent="0.35">
      <c r="A4005" t="s">
        <v>14</v>
      </c>
    </row>
    <row r="4006" spans="1:3" x14ac:dyDescent="0.35">
      <c r="A4006" t="s">
        <v>100</v>
      </c>
      <c r="B4006" t="s">
        <v>101</v>
      </c>
      <c r="C4006" t="s">
        <v>102</v>
      </c>
    </row>
    <row r="4007" spans="1:3" x14ac:dyDescent="0.35">
      <c r="A4007" t="s">
        <v>18</v>
      </c>
      <c r="B4007" t="s">
        <v>160</v>
      </c>
      <c r="C4007" t="s">
        <v>232</v>
      </c>
    </row>
    <row r="4008" spans="1:3" x14ac:dyDescent="0.35">
      <c r="A4008" t="s">
        <v>162</v>
      </c>
      <c r="B4008" t="s">
        <v>124</v>
      </c>
    </row>
    <row r="4009" spans="1:3" x14ac:dyDescent="0.35">
      <c r="A4009" t="s">
        <v>18</v>
      </c>
    </row>
    <row r="4010" spans="1:3" x14ac:dyDescent="0.35">
      <c r="A4010" t="s">
        <v>100</v>
      </c>
      <c r="B4010" t="s">
        <v>101</v>
      </c>
      <c r="C4010" t="s">
        <v>102</v>
      </c>
    </row>
    <row r="4011" spans="1:3" x14ac:dyDescent="0.35">
      <c r="A4011" t="s">
        <v>10</v>
      </c>
    </row>
    <row r="4012" spans="1:3" x14ac:dyDescent="0.35">
      <c r="A4012" t="s">
        <v>7</v>
      </c>
    </row>
    <row r="4013" spans="1:3" x14ac:dyDescent="0.35">
      <c r="A4013" t="s">
        <v>12</v>
      </c>
    </row>
    <row r="4014" spans="1:3" x14ac:dyDescent="0.35">
      <c r="A4014" t="s">
        <v>12</v>
      </c>
    </row>
    <row r="4015" spans="1:3" x14ac:dyDescent="0.35">
      <c r="A4015" t="s">
        <v>105</v>
      </c>
      <c r="B4015" t="s">
        <v>14</v>
      </c>
    </row>
    <row r="4016" spans="1:3" x14ac:dyDescent="0.35">
      <c r="A4016" t="s">
        <v>38</v>
      </c>
    </row>
    <row r="4017" spans="1:6" x14ac:dyDescent="0.35">
      <c r="A4017" t="s">
        <v>8</v>
      </c>
    </row>
    <row r="4018" spans="1:6" x14ac:dyDescent="0.35">
      <c r="A4018" t="s">
        <v>148</v>
      </c>
      <c r="B4018" t="s">
        <v>18</v>
      </c>
    </row>
    <row r="4019" spans="1:6" x14ac:dyDescent="0.35">
      <c r="A4019" t="s">
        <v>18</v>
      </c>
      <c r="B4019" t="s">
        <v>130</v>
      </c>
      <c r="C4019" t="s">
        <v>257</v>
      </c>
    </row>
    <row r="4020" spans="1:6" x14ac:dyDescent="0.35">
      <c r="A4020" t="s">
        <v>7</v>
      </c>
    </row>
    <row r="4021" spans="1:6" x14ac:dyDescent="0.35">
      <c r="A4021" t="s">
        <v>50</v>
      </c>
      <c r="B4021" t="s">
        <v>51</v>
      </c>
      <c r="C4021" t="s">
        <v>52</v>
      </c>
    </row>
    <row r="4022" spans="1:6" x14ac:dyDescent="0.35">
      <c r="A4022" t="s">
        <v>50</v>
      </c>
      <c r="B4022" t="s">
        <v>70</v>
      </c>
      <c r="C4022" t="s">
        <v>51</v>
      </c>
      <c r="D4022" t="s">
        <v>52</v>
      </c>
      <c r="E4022" t="s">
        <v>63</v>
      </c>
      <c r="F4022" t="s">
        <v>71</v>
      </c>
    </row>
    <row r="4023" spans="1:6" x14ac:dyDescent="0.35">
      <c r="A4023" t="s">
        <v>148</v>
      </c>
      <c r="B4023" t="s">
        <v>18</v>
      </c>
    </row>
    <row r="4024" spans="1:6" x14ac:dyDescent="0.35">
      <c r="A4024" t="s">
        <v>7</v>
      </c>
    </row>
    <row r="4025" spans="1:6" x14ac:dyDescent="0.35">
      <c r="A4025" t="s">
        <v>64</v>
      </c>
      <c r="B4025" t="s">
        <v>66</v>
      </c>
      <c r="C4025" t="s">
        <v>18</v>
      </c>
      <c r="D4025" t="s">
        <v>67</v>
      </c>
      <c r="E4025" t="s">
        <v>68</v>
      </c>
    </row>
    <row r="4026" spans="1:6" x14ac:dyDescent="0.35">
      <c r="A4026" t="s">
        <v>81</v>
      </c>
      <c r="B4026" t="s">
        <v>11</v>
      </c>
    </row>
    <row r="4027" spans="1:6" x14ac:dyDescent="0.35">
      <c r="A4027" t="s">
        <v>18</v>
      </c>
      <c r="B4027" t="s">
        <v>160</v>
      </c>
    </row>
    <row r="4028" spans="1:6" x14ac:dyDescent="0.35">
      <c r="A4028" t="s">
        <v>18</v>
      </c>
      <c r="B4028" t="s">
        <v>178</v>
      </c>
    </row>
    <row r="4029" spans="1:6" x14ac:dyDescent="0.35">
      <c r="A4029" t="s">
        <v>64</v>
      </c>
      <c r="B4029" t="s">
        <v>66</v>
      </c>
      <c r="C4029" t="s">
        <v>18</v>
      </c>
      <c r="D4029" t="s">
        <v>67</v>
      </c>
      <c r="E4029" t="s">
        <v>68</v>
      </c>
    </row>
    <row r="4030" spans="1:6" x14ac:dyDescent="0.35">
      <c r="A4030" t="s">
        <v>3</v>
      </c>
    </row>
    <row r="4031" spans="1:6" x14ac:dyDescent="0.35">
      <c r="A4031" t="s">
        <v>1</v>
      </c>
    </row>
    <row r="4032" spans="1:6" x14ac:dyDescent="0.35">
      <c r="A4032" t="s">
        <v>12</v>
      </c>
    </row>
    <row r="4033" spans="1:6" x14ac:dyDescent="0.35">
      <c r="A4033" t="s">
        <v>1</v>
      </c>
      <c r="B4033" t="s">
        <v>87</v>
      </c>
      <c r="C4033" t="s">
        <v>131</v>
      </c>
    </row>
    <row r="4034" spans="1:6" x14ac:dyDescent="0.35">
      <c r="A4034" t="s">
        <v>159</v>
      </c>
      <c r="B4034" t="s">
        <v>11</v>
      </c>
    </row>
    <row r="4035" spans="1:6" x14ac:dyDescent="0.35">
      <c r="A4035" t="s">
        <v>7</v>
      </c>
    </row>
    <row r="4036" spans="1:6" x14ac:dyDescent="0.35">
      <c r="A4036" t="s">
        <v>23</v>
      </c>
    </row>
    <row r="4037" spans="1:6" x14ac:dyDescent="0.35">
      <c r="A4037" t="s">
        <v>24</v>
      </c>
    </row>
    <row r="4038" spans="1:6" x14ac:dyDescent="0.35">
      <c r="A4038" t="s">
        <v>56</v>
      </c>
      <c r="B4038" t="s">
        <v>57</v>
      </c>
    </row>
    <row r="4039" spans="1:6" x14ac:dyDescent="0.35">
      <c r="A4039" t="s">
        <v>195</v>
      </c>
      <c r="B4039" t="s">
        <v>1</v>
      </c>
    </row>
    <row r="4040" spans="1:6" x14ac:dyDescent="0.35">
      <c r="A4040" t="s">
        <v>1</v>
      </c>
    </row>
    <row r="4041" spans="1:6" x14ac:dyDescent="0.35">
      <c r="A4041" t="s">
        <v>9</v>
      </c>
    </row>
    <row r="4042" spans="1:6" x14ac:dyDescent="0.35">
      <c r="A4042" t="s">
        <v>64</v>
      </c>
      <c r="B4042" t="s">
        <v>65</v>
      </c>
      <c r="C4042" t="s">
        <v>66</v>
      </c>
      <c r="D4042" t="s">
        <v>18</v>
      </c>
      <c r="E4042" t="s">
        <v>67</v>
      </c>
      <c r="F4042" t="s">
        <v>68</v>
      </c>
    </row>
    <row r="4043" spans="1:6" x14ac:dyDescent="0.35">
      <c r="A4043" t="s">
        <v>37</v>
      </c>
    </row>
    <row r="4044" spans="1:6" x14ac:dyDescent="0.35">
      <c r="A4044" t="s">
        <v>18</v>
      </c>
      <c r="B4044" t="s">
        <v>130</v>
      </c>
    </row>
    <row r="4045" spans="1:6" x14ac:dyDescent="0.35">
      <c r="A4045" t="s">
        <v>50</v>
      </c>
      <c r="B4045" t="s">
        <v>51</v>
      </c>
      <c r="C4045" t="s">
        <v>52</v>
      </c>
      <c r="D4045" t="s">
        <v>63</v>
      </c>
    </row>
    <row r="4046" spans="1:6" x14ac:dyDescent="0.35">
      <c r="A4046" t="s">
        <v>17</v>
      </c>
    </row>
    <row r="4047" spans="1:6" x14ac:dyDescent="0.35">
      <c r="A4047" t="s">
        <v>18</v>
      </c>
      <c r="B4047" t="s">
        <v>130</v>
      </c>
    </row>
    <row r="4048" spans="1:6" x14ac:dyDescent="0.35">
      <c r="A4048" t="s">
        <v>1</v>
      </c>
    </row>
    <row r="4049" spans="1:6" x14ac:dyDescent="0.35">
      <c r="A4049" t="s">
        <v>38</v>
      </c>
    </row>
    <row r="4050" spans="1:6" x14ac:dyDescent="0.35">
      <c r="A4050" t="s">
        <v>252</v>
      </c>
      <c r="B4050" t="s">
        <v>18</v>
      </c>
    </row>
    <row r="4051" spans="1:6" x14ac:dyDescent="0.35">
      <c r="A4051" t="s">
        <v>18</v>
      </c>
      <c r="B4051" t="s">
        <v>130</v>
      </c>
    </row>
    <row r="4052" spans="1:6" x14ac:dyDescent="0.35">
      <c r="A4052" t="s">
        <v>17</v>
      </c>
    </row>
    <row r="4053" spans="1:6" x14ac:dyDescent="0.35">
      <c r="A4053" t="s">
        <v>3</v>
      </c>
    </row>
    <row r="4054" spans="1:6" x14ac:dyDescent="0.35">
      <c r="A4054" t="s">
        <v>12</v>
      </c>
    </row>
    <row r="4055" spans="1:6" x14ac:dyDescent="0.35">
      <c r="A4055" t="s">
        <v>50</v>
      </c>
      <c r="B4055" t="s">
        <v>51</v>
      </c>
      <c r="C4055" t="s">
        <v>52</v>
      </c>
      <c r="D4055" t="s">
        <v>60</v>
      </c>
      <c r="E4055" t="s">
        <v>61</v>
      </c>
    </row>
    <row r="4056" spans="1:6" x14ac:dyDescent="0.35">
      <c r="A4056" t="s">
        <v>7</v>
      </c>
    </row>
    <row r="4057" spans="1:6" x14ac:dyDescent="0.35">
      <c r="A4057" t="s">
        <v>50</v>
      </c>
      <c r="B4057" t="s">
        <v>51</v>
      </c>
      <c r="C4057" t="s">
        <v>52</v>
      </c>
    </row>
    <row r="4058" spans="1:6" x14ac:dyDescent="0.35">
      <c r="A4058" t="s">
        <v>18</v>
      </c>
      <c r="B4058" t="s">
        <v>160</v>
      </c>
    </row>
    <row r="4059" spans="1:6" x14ac:dyDescent="0.35">
      <c r="A4059" t="s">
        <v>64</v>
      </c>
      <c r="B4059" t="s">
        <v>65</v>
      </c>
      <c r="C4059" t="s">
        <v>66</v>
      </c>
      <c r="D4059" t="s">
        <v>18</v>
      </c>
      <c r="E4059" t="s">
        <v>67</v>
      </c>
      <c r="F4059" t="s">
        <v>68</v>
      </c>
    </row>
    <row r="4060" spans="1:6" x14ac:dyDescent="0.35">
      <c r="A4060" t="s">
        <v>18</v>
      </c>
      <c r="B4060" t="s">
        <v>130</v>
      </c>
    </row>
    <row r="4061" spans="1:6" x14ac:dyDescent="0.35">
      <c r="A4061" t="s">
        <v>64</v>
      </c>
      <c r="B4061" t="s">
        <v>205</v>
      </c>
      <c r="C4061" t="s">
        <v>66</v>
      </c>
      <c r="D4061" t="s">
        <v>18</v>
      </c>
      <c r="E4061" t="s">
        <v>67</v>
      </c>
      <c r="F4061" t="s">
        <v>68</v>
      </c>
    </row>
    <row r="4062" spans="1:6" x14ac:dyDescent="0.35">
      <c r="A4062" t="s">
        <v>1</v>
      </c>
    </row>
    <row r="4063" spans="1:6" x14ac:dyDescent="0.35">
      <c r="A4063" t="s">
        <v>155</v>
      </c>
      <c r="B4063" t="s">
        <v>156</v>
      </c>
      <c r="C4063" t="s">
        <v>157</v>
      </c>
    </row>
    <row r="4064" spans="1:6" x14ac:dyDescent="0.35">
      <c r="A4064" t="s">
        <v>56</v>
      </c>
      <c r="B4064" t="s">
        <v>57</v>
      </c>
    </row>
    <row r="4065" spans="1:7" x14ac:dyDescent="0.35">
      <c r="A4065" t="s">
        <v>3</v>
      </c>
    </row>
    <row r="4066" spans="1:7" x14ac:dyDescent="0.35">
      <c r="A4066" t="s">
        <v>31</v>
      </c>
    </row>
    <row r="4067" spans="1:7" x14ac:dyDescent="0.35">
      <c r="A4067" t="s">
        <v>96</v>
      </c>
      <c r="B4067" t="s">
        <v>18</v>
      </c>
    </row>
    <row r="4068" spans="1:7" x14ac:dyDescent="0.35">
      <c r="A4068" t="s">
        <v>7</v>
      </c>
    </row>
    <row r="4069" spans="1:7" x14ac:dyDescent="0.35">
      <c r="A4069" t="s">
        <v>3</v>
      </c>
    </row>
    <row r="4070" spans="1:7" x14ac:dyDescent="0.35">
      <c r="A4070" t="s">
        <v>138</v>
      </c>
      <c r="B4070" t="s">
        <v>240</v>
      </c>
      <c r="C4070" t="s">
        <v>139</v>
      </c>
      <c r="D4070" t="s">
        <v>140</v>
      </c>
      <c r="E4070" t="s">
        <v>141</v>
      </c>
      <c r="F4070" t="s">
        <v>142</v>
      </c>
      <c r="G4070" t="s">
        <v>124</v>
      </c>
    </row>
    <row r="4071" spans="1:7" x14ac:dyDescent="0.35">
      <c r="A4071" t="s">
        <v>50</v>
      </c>
      <c r="B4071" t="s">
        <v>51</v>
      </c>
      <c r="C4071" t="s">
        <v>52</v>
      </c>
    </row>
    <row r="4072" spans="1:7" x14ac:dyDescent="0.35">
      <c r="A4072" t="s">
        <v>162</v>
      </c>
      <c r="B4072" t="s">
        <v>247</v>
      </c>
      <c r="C4072" t="s">
        <v>164</v>
      </c>
      <c r="D4072" t="s">
        <v>124</v>
      </c>
    </row>
    <row r="4073" spans="1:7" x14ac:dyDescent="0.35">
      <c r="A4073" t="s">
        <v>100</v>
      </c>
      <c r="B4073" t="s">
        <v>101</v>
      </c>
      <c r="C4073" t="s">
        <v>102</v>
      </c>
    </row>
    <row r="4074" spans="1:7" x14ac:dyDescent="0.35">
      <c r="A4074" t="s">
        <v>11</v>
      </c>
    </row>
    <row r="4075" spans="1:7" x14ac:dyDescent="0.35">
      <c r="A4075" t="s">
        <v>1</v>
      </c>
    </row>
    <row r="4076" spans="1:7" x14ac:dyDescent="0.35">
      <c r="A4076" t="s">
        <v>3</v>
      </c>
    </row>
    <row r="4077" spans="1:7" x14ac:dyDescent="0.35">
      <c r="A4077" t="s">
        <v>1</v>
      </c>
    </row>
    <row r="4078" spans="1:7" x14ac:dyDescent="0.35">
      <c r="A4078" t="s">
        <v>3</v>
      </c>
    </row>
    <row r="4079" spans="1:7" x14ac:dyDescent="0.35">
      <c r="A4079" t="s">
        <v>1</v>
      </c>
    </row>
    <row r="4080" spans="1:7" x14ac:dyDescent="0.35">
      <c r="A4080" t="s">
        <v>56</v>
      </c>
      <c r="B4080" t="s">
        <v>57</v>
      </c>
    </row>
    <row r="4081" spans="1:7" x14ac:dyDescent="0.35">
      <c r="A4081" t="s">
        <v>20</v>
      </c>
    </row>
    <row r="4082" spans="1:7" x14ac:dyDescent="0.35">
      <c r="A4082" t="s">
        <v>96</v>
      </c>
      <c r="B4082" t="s">
        <v>18</v>
      </c>
    </row>
    <row r="4083" spans="1:7" x14ac:dyDescent="0.35">
      <c r="A4083" t="s">
        <v>56</v>
      </c>
      <c r="B4083" t="s">
        <v>57</v>
      </c>
    </row>
    <row r="4084" spans="1:7" x14ac:dyDescent="0.35">
      <c r="A4084" t="s">
        <v>124</v>
      </c>
      <c r="B4084" t="s">
        <v>125</v>
      </c>
    </row>
    <row r="4085" spans="1:7" x14ac:dyDescent="0.35">
      <c r="A4085" t="s">
        <v>1</v>
      </c>
    </row>
    <row r="4086" spans="1:7" x14ac:dyDescent="0.35">
      <c r="A4086" t="s">
        <v>1</v>
      </c>
    </row>
    <row r="4087" spans="1:7" x14ac:dyDescent="0.35">
      <c r="A4087" t="s">
        <v>13</v>
      </c>
    </row>
    <row r="4088" spans="1:7" x14ac:dyDescent="0.35">
      <c r="A4088" t="s">
        <v>96</v>
      </c>
      <c r="B4088" t="s">
        <v>176</v>
      </c>
      <c r="C4088" t="s">
        <v>66</v>
      </c>
      <c r="D4088" t="s">
        <v>18</v>
      </c>
      <c r="E4088" t="s">
        <v>67</v>
      </c>
      <c r="F4088" t="s">
        <v>68</v>
      </c>
    </row>
    <row r="4089" spans="1:7" x14ac:dyDescent="0.35">
      <c r="A4089" t="s">
        <v>17</v>
      </c>
    </row>
    <row r="4090" spans="1:7" x14ac:dyDescent="0.35">
      <c r="A4090" t="s">
        <v>7</v>
      </c>
    </row>
    <row r="4091" spans="1:7" x14ac:dyDescent="0.35">
      <c r="A4091" t="s">
        <v>15</v>
      </c>
    </row>
    <row r="4092" spans="1:7" x14ac:dyDescent="0.35">
      <c r="A4092" t="s">
        <v>8</v>
      </c>
    </row>
    <row r="4093" spans="1:7" x14ac:dyDescent="0.35">
      <c r="A4093" t="s">
        <v>1</v>
      </c>
    </row>
    <row r="4094" spans="1:7" x14ac:dyDescent="0.35">
      <c r="A4094" t="s">
        <v>12</v>
      </c>
      <c r="B4094" t="s">
        <v>177</v>
      </c>
    </row>
    <row r="4095" spans="1:7" x14ac:dyDescent="0.35">
      <c r="A4095" t="s">
        <v>100</v>
      </c>
      <c r="B4095" t="s">
        <v>101</v>
      </c>
      <c r="C4095" t="s">
        <v>102</v>
      </c>
    </row>
    <row r="4096" spans="1:7" x14ac:dyDescent="0.35">
      <c r="A4096" t="s">
        <v>29</v>
      </c>
      <c r="B4096" t="s">
        <v>207</v>
      </c>
      <c r="C4096" t="s">
        <v>267</v>
      </c>
      <c r="D4096" t="s">
        <v>167</v>
      </c>
      <c r="E4096" t="s">
        <v>208</v>
      </c>
      <c r="F4096" t="s">
        <v>168</v>
      </c>
      <c r="G4096" t="s">
        <v>209</v>
      </c>
    </row>
    <row r="4097" spans="1:6" x14ac:dyDescent="0.35">
      <c r="A4097" t="s">
        <v>167</v>
      </c>
      <c r="B4097" t="s">
        <v>168</v>
      </c>
      <c r="C4097" t="s">
        <v>169</v>
      </c>
      <c r="D4097" t="s">
        <v>268</v>
      </c>
    </row>
    <row r="4098" spans="1:6" x14ac:dyDescent="0.35">
      <c r="A4098" t="s">
        <v>7</v>
      </c>
    </row>
    <row r="4099" spans="1:6" x14ac:dyDescent="0.35">
      <c r="A4099" t="s">
        <v>50</v>
      </c>
      <c r="B4099" t="s">
        <v>51</v>
      </c>
      <c r="C4099" t="s">
        <v>52</v>
      </c>
      <c r="D4099" t="s">
        <v>92</v>
      </c>
    </row>
    <row r="4100" spans="1:6" x14ac:dyDescent="0.35">
      <c r="A4100" t="s">
        <v>159</v>
      </c>
      <c r="B4100" t="s">
        <v>11</v>
      </c>
    </row>
    <row r="4101" spans="1:6" x14ac:dyDescent="0.35">
      <c r="A4101" t="s">
        <v>3</v>
      </c>
    </row>
    <row r="4102" spans="1:6" x14ac:dyDescent="0.35">
      <c r="A4102" t="s">
        <v>64</v>
      </c>
      <c r="B4102" t="s">
        <v>65</v>
      </c>
      <c r="C4102" t="s">
        <v>66</v>
      </c>
      <c r="D4102" t="s">
        <v>18</v>
      </c>
      <c r="E4102" t="s">
        <v>67</v>
      </c>
      <c r="F4102" t="s">
        <v>68</v>
      </c>
    </row>
    <row r="4103" spans="1:6" x14ac:dyDescent="0.35">
      <c r="A4103" t="s">
        <v>64</v>
      </c>
      <c r="B4103" t="s">
        <v>65</v>
      </c>
      <c r="C4103" t="s">
        <v>66</v>
      </c>
      <c r="D4103" t="s">
        <v>18</v>
      </c>
      <c r="E4103" t="s">
        <v>67</v>
      </c>
      <c r="F4103" t="s">
        <v>68</v>
      </c>
    </row>
    <row r="4104" spans="1:6" x14ac:dyDescent="0.35">
      <c r="A4104" t="s">
        <v>6</v>
      </c>
    </row>
    <row r="4105" spans="1:6" x14ac:dyDescent="0.35">
      <c r="A4105" t="s">
        <v>50</v>
      </c>
      <c r="B4105" t="s">
        <v>51</v>
      </c>
      <c r="C4105" t="s">
        <v>52</v>
      </c>
      <c r="D4105" t="s">
        <v>77</v>
      </c>
      <c r="E4105" t="s">
        <v>116</v>
      </c>
    </row>
    <row r="4106" spans="1:6" x14ac:dyDescent="0.35">
      <c r="A4106" t="s">
        <v>1</v>
      </c>
      <c r="B4106" t="s">
        <v>196</v>
      </c>
    </row>
    <row r="4107" spans="1:6" x14ac:dyDescent="0.35">
      <c r="A4107" t="s">
        <v>56</v>
      </c>
      <c r="B4107" t="s">
        <v>57</v>
      </c>
    </row>
    <row r="4108" spans="1:6" x14ac:dyDescent="0.35">
      <c r="A4108" t="s">
        <v>1</v>
      </c>
      <c r="B4108" t="s">
        <v>196</v>
      </c>
    </row>
    <row r="4109" spans="1:6" x14ac:dyDescent="0.35">
      <c r="A4109" t="s">
        <v>8</v>
      </c>
    </row>
    <row r="4110" spans="1:6" x14ac:dyDescent="0.35">
      <c r="A4110" t="s">
        <v>12</v>
      </c>
    </row>
    <row r="4111" spans="1:6" x14ac:dyDescent="0.35">
      <c r="A4111" t="s">
        <v>64</v>
      </c>
      <c r="B4111" t="s">
        <v>66</v>
      </c>
      <c r="C4111" t="s">
        <v>18</v>
      </c>
      <c r="D4111" t="s">
        <v>67</v>
      </c>
      <c r="E4111" t="s">
        <v>68</v>
      </c>
    </row>
    <row r="4112" spans="1:6" x14ac:dyDescent="0.35">
      <c r="A4112" t="s">
        <v>15</v>
      </c>
    </row>
    <row r="4113" spans="1:7" x14ac:dyDescent="0.35">
      <c r="A4113" t="s">
        <v>17</v>
      </c>
    </row>
    <row r="4114" spans="1:7" x14ac:dyDescent="0.35">
      <c r="A4114" t="s">
        <v>50</v>
      </c>
      <c r="B4114" t="s">
        <v>51</v>
      </c>
      <c r="C4114" t="s">
        <v>52</v>
      </c>
      <c r="D4114" t="s">
        <v>136</v>
      </c>
    </row>
    <row r="4115" spans="1:7" x14ac:dyDescent="0.35">
      <c r="A4115" t="s">
        <v>50</v>
      </c>
      <c r="B4115" t="s">
        <v>51</v>
      </c>
      <c r="C4115" t="s">
        <v>82</v>
      </c>
      <c r="D4115" t="s">
        <v>52</v>
      </c>
      <c r="E4115" t="s">
        <v>77</v>
      </c>
      <c r="F4115" t="s">
        <v>83</v>
      </c>
      <c r="G4115" t="s">
        <v>84</v>
      </c>
    </row>
    <row r="4116" spans="1:7" x14ac:dyDescent="0.35">
      <c r="A4116" t="s">
        <v>12</v>
      </c>
    </row>
    <row r="4117" spans="1:7" x14ac:dyDescent="0.35">
      <c r="A4117" t="s">
        <v>64</v>
      </c>
      <c r="B4117" t="s">
        <v>65</v>
      </c>
      <c r="C4117" t="s">
        <v>66</v>
      </c>
      <c r="D4117" t="s">
        <v>18</v>
      </c>
      <c r="E4117" t="s">
        <v>67</v>
      </c>
      <c r="F4117" t="s">
        <v>68</v>
      </c>
    </row>
    <row r="4118" spans="1:7" x14ac:dyDescent="0.35">
      <c r="A4118" t="s">
        <v>23</v>
      </c>
    </row>
    <row r="4119" spans="1:7" x14ac:dyDescent="0.35">
      <c r="A4119" t="s">
        <v>126</v>
      </c>
      <c r="B4119" t="s">
        <v>127</v>
      </c>
    </row>
    <row r="4120" spans="1:7" x14ac:dyDescent="0.35">
      <c r="A4120" t="s">
        <v>148</v>
      </c>
      <c r="B4120" t="s">
        <v>18</v>
      </c>
    </row>
    <row r="4121" spans="1:7" x14ac:dyDescent="0.35">
      <c r="A4121" t="s">
        <v>64</v>
      </c>
      <c r="B4121" t="s">
        <v>65</v>
      </c>
      <c r="C4121" t="s">
        <v>18</v>
      </c>
    </row>
    <row r="4122" spans="1:7" x14ac:dyDescent="0.35">
      <c r="A4122" t="s">
        <v>50</v>
      </c>
      <c r="B4122" t="s">
        <v>51</v>
      </c>
      <c r="C4122" t="s">
        <v>52</v>
      </c>
      <c r="D4122" t="s">
        <v>72</v>
      </c>
      <c r="E4122" t="s">
        <v>73</v>
      </c>
    </row>
    <row r="4123" spans="1:7" x14ac:dyDescent="0.35">
      <c r="A4123" t="s">
        <v>64</v>
      </c>
      <c r="B4123" t="s">
        <v>65</v>
      </c>
      <c r="C4123" t="s">
        <v>66</v>
      </c>
      <c r="D4123" t="s">
        <v>18</v>
      </c>
      <c r="E4123" t="s">
        <v>67</v>
      </c>
      <c r="F4123" t="s">
        <v>68</v>
      </c>
    </row>
    <row r="4124" spans="1:7" x14ac:dyDescent="0.35">
      <c r="A4124" t="s">
        <v>151</v>
      </c>
      <c r="B4124" t="s">
        <v>152</v>
      </c>
      <c r="C4124" t="s">
        <v>153</v>
      </c>
    </row>
    <row r="4125" spans="1:7" x14ac:dyDescent="0.35">
      <c r="A4125" t="s">
        <v>1</v>
      </c>
    </row>
    <row r="4126" spans="1:7" x14ac:dyDescent="0.35">
      <c r="A4126" t="s">
        <v>7</v>
      </c>
    </row>
    <row r="4127" spans="1:7" x14ac:dyDescent="0.35">
      <c r="A4127" t="s">
        <v>11</v>
      </c>
    </row>
    <row r="4128" spans="1:7" x14ac:dyDescent="0.35">
      <c r="A4128" t="s">
        <v>1</v>
      </c>
    </row>
    <row r="4129" spans="1:9" x14ac:dyDescent="0.35">
      <c r="A4129" t="s">
        <v>38</v>
      </c>
    </row>
    <row r="4130" spans="1:9" x14ac:dyDescent="0.35">
      <c r="A4130" t="s">
        <v>149</v>
      </c>
      <c r="B4130" t="s">
        <v>109</v>
      </c>
      <c r="C4130" t="s">
        <v>110</v>
      </c>
      <c r="D4130" t="s">
        <v>111</v>
      </c>
    </row>
    <row r="4131" spans="1:9" x14ac:dyDescent="0.35">
      <c r="A4131" t="s">
        <v>1</v>
      </c>
    </row>
    <row r="4132" spans="1:9" x14ac:dyDescent="0.35">
      <c r="A4132" t="s">
        <v>100</v>
      </c>
      <c r="B4132" t="s">
        <v>101</v>
      </c>
      <c r="C4132" t="s">
        <v>102</v>
      </c>
    </row>
    <row r="4133" spans="1:9" x14ac:dyDescent="0.35">
      <c r="A4133" t="s">
        <v>138</v>
      </c>
      <c r="B4133" t="s">
        <v>139</v>
      </c>
      <c r="C4133" t="s">
        <v>140</v>
      </c>
      <c r="D4133" t="s">
        <v>141</v>
      </c>
      <c r="E4133" t="s">
        <v>142</v>
      </c>
      <c r="F4133" t="s">
        <v>124</v>
      </c>
      <c r="G4133" t="s">
        <v>143</v>
      </c>
      <c r="H4133" t="s">
        <v>253</v>
      </c>
      <c r="I4133" t="s">
        <v>145</v>
      </c>
    </row>
    <row r="4134" spans="1:9" x14ac:dyDescent="0.35">
      <c r="A4134" t="s">
        <v>64</v>
      </c>
      <c r="B4134" t="s">
        <v>65</v>
      </c>
      <c r="C4134" t="s">
        <v>66</v>
      </c>
      <c r="D4134" t="s">
        <v>18</v>
      </c>
      <c r="E4134" t="s">
        <v>67</v>
      </c>
      <c r="F4134" t="s">
        <v>68</v>
      </c>
    </row>
    <row r="4135" spans="1:9" x14ac:dyDescent="0.35">
      <c r="A4135" t="s">
        <v>64</v>
      </c>
      <c r="B4135" t="s">
        <v>65</v>
      </c>
      <c r="C4135" t="s">
        <v>18</v>
      </c>
    </row>
    <row r="4136" spans="1:9" x14ac:dyDescent="0.35">
      <c r="A4136" t="s">
        <v>138</v>
      </c>
      <c r="B4136" t="s">
        <v>139</v>
      </c>
      <c r="C4136" t="s">
        <v>140</v>
      </c>
      <c r="D4136" t="s">
        <v>141</v>
      </c>
      <c r="E4136" t="s">
        <v>142</v>
      </c>
      <c r="F4136" t="s">
        <v>124</v>
      </c>
    </row>
    <row r="4137" spans="1:9" x14ac:dyDescent="0.35">
      <c r="A4137" t="s">
        <v>195</v>
      </c>
      <c r="B4137" t="s">
        <v>1</v>
      </c>
    </row>
    <row r="4138" spans="1:9" x14ac:dyDescent="0.35">
      <c r="A4138" t="s">
        <v>64</v>
      </c>
      <c r="B4138" t="s">
        <v>18</v>
      </c>
    </row>
    <row r="4139" spans="1:9" x14ac:dyDescent="0.35">
      <c r="A4139" t="s">
        <v>96</v>
      </c>
      <c r="B4139" t="s">
        <v>18</v>
      </c>
    </row>
    <row r="4140" spans="1:9" x14ac:dyDescent="0.35">
      <c r="A4140" t="s">
        <v>1</v>
      </c>
    </row>
    <row r="4141" spans="1:9" x14ac:dyDescent="0.35">
      <c r="A4141" t="s">
        <v>81</v>
      </c>
      <c r="B4141" t="s">
        <v>11</v>
      </c>
    </row>
    <row r="4142" spans="1:9" x14ac:dyDescent="0.35">
      <c r="A4142" t="s">
        <v>11</v>
      </c>
    </row>
    <row r="4143" spans="1:9" x14ac:dyDescent="0.35">
      <c r="A4143" t="s">
        <v>50</v>
      </c>
      <c r="B4143" t="s">
        <v>51</v>
      </c>
      <c r="C4143" t="s">
        <v>52</v>
      </c>
      <c r="D4143" t="s">
        <v>63</v>
      </c>
    </row>
    <row r="4144" spans="1:9" x14ac:dyDescent="0.35">
      <c r="A4144" t="s">
        <v>121</v>
      </c>
      <c r="B4144" t="s">
        <v>122</v>
      </c>
    </row>
    <row r="4145" spans="1:8" x14ac:dyDescent="0.35">
      <c r="A4145" t="s">
        <v>23</v>
      </c>
    </row>
    <row r="4146" spans="1:8" x14ac:dyDescent="0.35">
      <c r="A4146" t="s">
        <v>100</v>
      </c>
      <c r="B4146" t="s">
        <v>102</v>
      </c>
    </row>
    <row r="4147" spans="1:8" x14ac:dyDescent="0.35">
      <c r="A4147" t="s">
        <v>8</v>
      </c>
    </row>
    <row r="4148" spans="1:8" x14ac:dyDescent="0.35">
      <c r="A4148" t="s">
        <v>81</v>
      </c>
      <c r="B4148" t="s">
        <v>11</v>
      </c>
    </row>
    <row r="4149" spans="1:8" x14ac:dyDescent="0.35">
      <c r="A4149" t="s">
        <v>15</v>
      </c>
    </row>
    <row r="4150" spans="1:8" x14ac:dyDescent="0.35">
      <c r="A4150" t="s">
        <v>3</v>
      </c>
    </row>
    <row r="4151" spans="1:8" x14ac:dyDescent="0.35">
      <c r="A4151" t="s">
        <v>29</v>
      </c>
      <c r="B4151" t="s">
        <v>219</v>
      </c>
      <c r="C4151" t="s">
        <v>207</v>
      </c>
      <c r="D4151" t="s">
        <v>220</v>
      </c>
      <c r="E4151" t="s">
        <v>269</v>
      </c>
      <c r="F4151" t="s">
        <v>167</v>
      </c>
      <c r="G4151" t="s">
        <v>208</v>
      </c>
      <c r="H4151" t="s">
        <v>168</v>
      </c>
    </row>
    <row r="4152" spans="1:8" x14ac:dyDescent="0.35">
      <c r="A4152" t="s">
        <v>7</v>
      </c>
    </row>
    <row r="4153" spans="1:8" x14ac:dyDescent="0.35">
      <c r="A4153" t="s">
        <v>64</v>
      </c>
      <c r="B4153" t="s">
        <v>65</v>
      </c>
      <c r="C4153" t="s">
        <v>66</v>
      </c>
      <c r="D4153" t="s">
        <v>18</v>
      </c>
      <c r="E4153" t="s">
        <v>67</v>
      </c>
      <c r="F4153" t="s">
        <v>68</v>
      </c>
    </row>
    <row r="4154" spans="1:8" x14ac:dyDescent="0.35">
      <c r="A4154" t="s">
        <v>15</v>
      </c>
    </row>
    <row r="4155" spans="1:8" x14ac:dyDescent="0.35">
      <c r="A4155" t="s">
        <v>18</v>
      </c>
    </row>
    <row r="4156" spans="1:8" x14ac:dyDescent="0.35">
      <c r="A4156" t="s">
        <v>12</v>
      </c>
    </row>
    <row r="4157" spans="1:8" x14ac:dyDescent="0.35">
      <c r="A4157" t="s">
        <v>123</v>
      </c>
      <c r="B4157" t="s">
        <v>175</v>
      </c>
      <c r="C4157" t="s">
        <v>124</v>
      </c>
      <c r="D4157" t="s">
        <v>125</v>
      </c>
    </row>
    <row r="4158" spans="1:8" x14ac:dyDescent="0.35">
      <c r="A4158" t="s">
        <v>31</v>
      </c>
    </row>
    <row r="4159" spans="1:8" x14ac:dyDescent="0.35">
      <c r="A4159" t="s">
        <v>45</v>
      </c>
    </row>
    <row r="4160" spans="1:8" x14ac:dyDescent="0.35">
      <c r="A4160" t="s">
        <v>50</v>
      </c>
      <c r="B4160" t="s">
        <v>51</v>
      </c>
      <c r="C4160" t="s">
        <v>52</v>
      </c>
    </row>
    <row r="4161" spans="1:5" x14ac:dyDescent="0.35">
      <c r="A4161" t="s">
        <v>39</v>
      </c>
    </row>
    <row r="4162" spans="1:5" x14ac:dyDescent="0.35">
      <c r="A4162" t="s">
        <v>1</v>
      </c>
      <c r="B4162" t="s">
        <v>87</v>
      </c>
    </row>
    <row r="4163" spans="1:5" x14ac:dyDescent="0.35">
      <c r="A4163" t="s">
        <v>50</v>
      </c>
      <c r="B4163" t="s">
        <v>51</v>
      </c>
      <c r="C4163" t="s">
        <v>52</v>
      </c>
      <c r="D4163" t="s">
        <v>72</v>
      </c>
      <c r="E4163" t="s">
        <v>73</v>
      </c>
    </row>
    <row r="4164" spans="1:5" x14ac:dyDescent="0.35">
      <c r="A4164" t="s">
        <v>12</v>
      </c>
    </row>
    <row r="4165" spans="1:5" x14ac:dyDescent="0.35">
      <c r="A4165" t="s">
        <v>3</v>
      </c>
    </row>
    <row r="4166" spans="1:5" x14ac:dyDescent="0.35">
      <c r="A4166" t="s">
        <v>12</v>
      </c>
    </row>
    <row r="4167" spans="1:5" x14ac:dyDescent="0.35">
      <c r="A4167" t="s">
        <v>50</v>
      </c>
      <c r="B4167" t="s">
        <v>51</v>
      </c>
      <c r="C4167" t="s">
        <v>52</v>
      </c>
    </row>
    <row r="4168" spans="1:5" x14ac:dyDescent="0.35">
      <c r="A4168" t="s">
        <v>1</v>
      </c>
    </row>
    <row r="4169" spans="1:5" x14ac:dyDescent="0.35">
      <c r="A4169" t="s">
        <v>167</v>
      </c>
      <c r="B4169" t="s">
        <v>168</v>
      </c>
      <c r="C4169" t="s">
        <v>169</v>
      </c>
    </row>
    <row r="4170" spans="1:5" x14ac:dyDescent="0.35">
      <c r="A4170" t="s">
        <v>17</v>
      </c>
    </row>
    <row r="4171" spans="1:5" x14ac:dyDescent="0.35">
      <c r="A4171" t="s">
        <v>18</v>
      </c>
      <c r="B4171" t="s">
        <v>130</v>
      </c>
    </row>
    <row r="4172" spans="1:5" x14ac:dyDescent="0.35">
      <c r="A4172" t="s">
        <v>100</v>
      </c>
      <c r="B4172" t="s">
        <v>101</v>
      </c>
      <c r="C4172" t="s">
        <v>102</v>
      </c>
    </row>
    <row r="4173" spans="1:5" x14ac:dyDescent="0.35">
      <c r="A4173" t="s">
        <v>1</v>
      </c>
    </row>
    <row r="4174" spans="1:5" x14ac:dyDescent="0.35">
      <c r="A4174" t="s">
        <v>9</v>
      </c>
    </row>
    <row r="4175" spans="1:5" x14ac:dyDescent="0.35">
      <c r="A4175" t="s">
        <v>18</v>
      </c>
    </row>
    <row r="4176" spans="1:5" x14ac:dyDescent="0.35">
      <c r="A4176" t="s">
        <v>1</v>
      </c>
    </row>
    <row r="4177" spans="1:6" x14ac:dyDescent="0.35">
      <c r="A4177" t="s">
        <v>81</v>
      </c>
      <c r="B4177" t="s">
        <v>11</v>
      </c>
    </row>
    <row r="4178" spans="1:6" x14ac:dyDescent="0.35">
      <c r="A4178" t="s">
        <v>50</v>
      </c>
      <c r="B4178" t="s">
        <v>51</v>
      </c>
      <c r="C4178" t="s">
        <v>52</v>
      </c>
      <c r="D4178" t="s">
        <v>72</v>
      </c>
      <c r="E4178" t="s">
        <v>73</v>
      </c>
    </row>
    <row r="4179" spans="1:6" x14ac:dyDescent="0.35">
      <c r="A4179" t="s">
        <v>56</v>
      </c>
      <c r="B4179" t="s">
        <v>57</v>
      </c>
    </row>
    <row r="4180" spans="1:6" x14ac:dyDescent="0.35">
      <c r="A4180" t="s">
        <v>3</v>
      </c>
    </row>
    <row r="4181" spans="1:6" x14ac:dyDescent="0.35">
      <c r="A4181" t="s">
        <v>126</v>
      </c>
      <c r="B4181" t="s">
        <v>127</v>
      </c>
    </row>
    <row r="4182" spans="1:6" x14ac:dyDescent="0.35">
      <c r="A4182" t="s">
        <v>162</v>
      </c>
      <c r="B4182" t="s">
        <v>247</v>
      </c>
      <c r="C4182" t="s">
        <v>164</v>
      </c>
      <c r="D4182" t="s">
        <v>124</v>
      </c>
    </row>
    <row r="4183" spans="1:6" x14ac:dyDescent="0.35">
      <c r="A4183" t="s">
        <v>18</v>
      </c>
      <c r="B4183" t="s">
        <v>160</v>
      </c>
    </row>
    <row r="4184" spans="1:6" x14ac:dyDescent="0.35">
      <c r="A4184" t="s">
        <v>16</v>
      </c>
      <c r="B4184" t="s">
        <v>8</v>
      </c>
    </row>
    <row r="4185" spans="1:6" x14ac:dyDescent="0.35">
      <c r="A4185" t="s">
        <v>214</v>
      </c>
      <c r="B4185" t="s">
        <v>215</v>
      </c>
    </row>
    <row r="4186" spans="1:6" x14ac:dyDescent="0.35">
      <c r="A4186" t="s">
        <v>18</v>
      </c>
      <c r="B4186" t="s">
        <v>160</v>
      </c>
    </row>
    <row r="4187" spans="1:6" x14ac:dyDescent="0.35">
      <c r="A4187" t="s">
        <v>19</v>
      </c>
    </row>
    <row r="4188" spans="1:6" x14ac:dyDescent="0.35">
      <c r="A4188" t="s">
        <v>50</v>
      </c>
      <c r="B4188" t="s">
        <v>51</v>
      </c>
      <c r="C4188" t="s">
        <v>52</v>
      </c>
      <c r="D4188" t="s">
        <v>60</v>
      </c>
      <c r="E4188" t="s">
        <v>118</v>
      </c>
      <c r="F4188" t="s">
        <v>61</v>
      </c>
    </row>
    <row r="4189" spans="1:6" x14ac:dyDescent="0.35">
      <c r="A4189" t="s">
        <v>11</v>
      </c>
    </row>
    <row r="4190" spans="1:6" x14ac:dyDescent="0.35">
      <c r="A4190" t="s">
        <v>148</v>
      </c>
      <c r="B4190" t="s">
        <v>18</v>
      </c>
    </row>
    <row r="4191" spans="1:6" x14ac:dyDescent="0.35">
      <c r="A4191" t="s">
        <v>1</v>
      </c>
      <c r="B4191" t="s">
        <v>135</v>
      </c>
    </row>
    <row r="4192" spans="1:6" x14ac:dyDescent="0.35">
      <c r="A4192" t="s">
        <v>108</v>
      </c>
      <c r="B4192" t="s">
        <v>11</v>
      </c>
    </row>
    <row r="4193" spans="1:5" x14ac:dyDescent="0.35">
      <c r="A4193" t="s">
        <v>12</v>
      </c>
    </row>
    <row r="4194" spans="1:5" x14ac:dyDescent="0.35">
      <c r="A4194" t="s">
        <v>1</v>
      </c>
    </row>
    <row r="4195" spans="1:5" x14ac:dyDescent="0.35">
      <c r="A4195" t="s">
        <v>64</v>
      </c>
      <c r="B4195" t="s">
        <v>66</v>
      </c>
      <c r="C4195" t="s">
        <v>18</v>
      </c>
      <c r="D4195" t="s">
        <v>67</v>
      </c>
      <c r="E4195" t="s">
        <v>68</v>
      </c>
    </row>
    <row r="4196" spans="1:5" x14ac:dyDescent="0.35">
      <c r="A4196" t="s">
        <v>7</v>
      </c>
    </row>
    <row r="4197" spans="1:5" x14ac:dyDescent="0.35">
      <c r="A4197" t="s">
        <v>4</v>
      </c>
    </row>
    <row r="4198" spans="1:5" x14ac:dyDescent="0.35">
      <c r="A4198" t="s">
        <v>96</v>
      </c>
      <c r="B4198" t="s">
        <v>18</v>
      </c>
    </row>
    <row r="4199" spans="1:5" x14ac:dyDescent="0.35">
      <c r="A4199" t="s">
        <v>18</v>
      </c>
      <c r="B4199" t="s">
        <v>160</v>
      </c>
    </row>
    <row r="4200" spans="1:5" x14ac:dyDescent="0.35">
      <c r="A4200" t="s">
        <v>50</v>
      </c>
      <c r="B4200" t="s">
        <v>51</v>
      </c>
      <c r="C4200" t="s">
        <v>52</v>
      </c>
      <c r="D4200" t="s">
        <v>63</v>
      </c>
    </row>
    <row r="4201" spans="1:5" x14ac:dyDescent="0.35">
      <c r="A4201" t="s">
        <v>126</v>
      </c>
      <c r="B4201" t="s">
        <v>127</v>
      </c>
    </row>
    <row r="4202" spans="1:5" x14ac:dyDescent="0.35">
      <c r="A4202" t="s">
        <v>18</v>
      </c>
      <c r="B4202" t="s">
        <v>130</v>
      </c>
    </row>
    <row r="4203" spans="1:5" x14ac:dyDescent="0.35">
      <c r="A4203" t="s">
        <v>96</v>
      </c>
      <c r="B4203" t="s">
        <v>18</v>
      </c>
    </row>
    <row r="4204" spans="1:5" x14ac:dyDescent="0.35">
      <c r="A4204" t="s">
        <v>96</v>
      </c>
      <c r="B4204" t="s">
        <v>18</v>
      </c>
    </row>
    <row r="4205" spans="1:5" x14ac:dyDescent="0.35">
      <c r="A4205" t="s">
        <v>56</v>
      </c>
      <c r="B4205" t="s">
        <v>57</v>
      </c>
      <c r="C4205" t="s">
        <v>171</v>
      </c>
      <c r="D4205" t="s">
        <v>172</v>
      </c>
      <c r="E4205" t="s">
        <v>173</v>
      </c>
    </row>
    <row r="4206" spans="1:5" x14ac:dyDescent="0.35">
      <c r="A4206" t="s">
        <v>64</v>
      </c>
      <c r="B4206" t="s">
        <v>66</v>
      </c>
      <c r="C4206" t="s">
        <v>18</v>
      </c>
      <c r="D4206" t="s">
        <v>67</v>
      </c>
      <c r="E4206" t="s">
        <v>68</v>
      </c>
    </row>
    <row r="4207" spans="1:5" x14ac:dyDescent="0.35">
      <c r="A4207" t="s">
        <v>18</v>
      </c>
    </row>
    <row r="4208" spans="1:5" x14ac:dyDescent="0.35">
      <c r="A4208" t="s">
        <v>8</v>
      </c>
    </row>
    <row r="4209" spans="1:6" x14ac:dyDescent="0.35">
      <c r="A4209" t="s">
        <v>50</v>
      </c>
      <c r="B4209" t="s">
        <v>51</v>
      </c>
      <c r="C4209" t="s">
        <v>52</v>
      </c>
    </row>
    <row r="4210" spans="1:6" x14ac:dyDescent="0.35">
      <c r="A4210" t="s">
        <v>24</v>
      </c>
    </row>
    <row r="4211" spans="1:6" x14ac:dyDescent="0.35">
      <c r="A4211" t="s">
        <v>18</v>
      </c>
      <c r="B4211" t="s">
        <v>130</v>
      </c>
      <c r="C4211" t="s">
        <v>257</v>
      </c>
    </row>
    <row r="4212" spans="1:6" x14ac:dyDescent="0.35">
      <c r="A4212" t="s">
        <v>64</v>
      </c>
      <c r="B4212" t="s">
        <v>65</v>
      </c>
      <c r="C4212" t="s">
        <v>66</v>
      </c>
      <c r="D4212" t="s">
        <v>18</v>
      </c>
      <c r="E4212" t="s">
        <v>67</v>
      </c>
      <c r="F4212" t="s">
        <v>68</v>
      </c>
    </row>
    <row r="4213" spans="1:6" x14ac:dyDescent="0.35">
      <c r="A4213" t="s">
        <v>8</v>
      </c>
    </row>
    <row r="4214" spans="1:6" x14ac:dyDescent="0.35">
      <c r="A4214" t="s">
        <v>18</v>
      </c>
      <c r="B4214" t="s">
        <v>178</v>
      </c>
    </row>
    <row r="4215" spans="1:6" x14ac:dyDescent="0.35">
      <c r="A4215" t="s">
        <v>50</v>
      </c>
      <c r="B4215" t="s">
        <v>51</v>
      </c>
      <c r="C4215" t="s">
        <v>52</v>
      </c>
    </row>
    <row r="4216" spans="1:6" x14ac:dyDescent="0.35">
      <c r="A4216" t="s">
        <v>64</v>
      </c>
      <c r="B4216" t="s">
        <v>65</v>
      </c>
      <c r="C4216" t="s">
        <v>66</v>
      </c>
      <c r="D4216" t="s">
        <v>18</v>
      </c>
      <c r="E4216" t="s">
        <v>67</v>
      </c>
      <c r="F4216" t="s">
        <v>68</v>
      </c>
    </row>
    <row r="4217" spans="1:6" x14ac:dyDescent="0.35">
      <c r="A4217" t="s">
        <v>10</v>
      </c>
    </row>
    <row r="4218" spans="1:6" x14ac:dyDescent="0.35">
      <c r="A4218" t="s">
        <v>1</v>
      </c>
    </row>
    <row r="4219" spans="1:6" x14ac:dyDescent="0.35">
      <c r="A4219" t="s">
        <v>4</v>
      </c>
    </row>
    <row r="4220" spans="1:6" x14ac:dyDescent="0.35">
      <c r="A4220" t="s">
        <v>17</v>
      </c>
    </row>
    <row r="4221" spans="1:6" x14ac:dyDescent="0.35">
      <c r="A4221" t="s">
        <v>7</v>
      </c>
    </row>
    <row r="4222" spans="1:6" x14ac:dyDescent="0.35">
      <c r="A4222" t="s">
        <v>8</v>
      </c>
    </row>
    <row r="4223" spans="1:6" x14ac:dyDescent="0.35">
      <c r="A4223" t="s">
        <v>8</v>
      </c>
    </row>
    <row r="4224" spans="1:6" x14ac:dyDescent="0.35">
      <c r="A4224" t="s">
        <v>108</v>
      </c>
      <c r="B4224" t="s">
        <v>11</v>
      </c>
    </row>
    <row r="4225" spans="1:5" x14ac:dyDescent="0.35">
      <c r="A4225" t="s">
        <v>56</v>
      </c>
      <c r="B4225" t="s">
        <v>57</v>
      </c>
    </row>
    <row r="4226" spans="1:5" x14ac:dyDescent="0.35">
      <c r="A4226" t="s">
        <v>96</v>
      </c>
      <c r="B4226" t="s">
        <v>18</v>
      </c>
    </row>
    <row r="4227" spans="1:5" x14ac:dyDescent="0.35">
      <c r="A4227" t="s">
        <v>5</v>
      </c>
    </row>
    <row r="4228" spans="1:5" x14ac:dyDescent="0.35">
      <c r="A4228" t="s">
        <v>50</v>
      </c>
      <c r="B4228" t="s">
        <v>51</v>
      </c>
      <c r="C4228" t="s">
        <v>52</v>
      </c>
      <c r="D4228" t="s">
        <v>63</v>
      </c>
    </row>
    <row r="4229" spans="1:5" x14ac:dyDescent="0.35">
      <c r="A4229" t="s">
        <v>121</v>
      </c>
      <c r="B4229" t="s">
        <v>122</v>
      </c>
    </row>
    <row r="4230" spans="1:5" x14ac:dyDescent="0.35">
      <c r="A4230" t="s">
        <v>41</v>
      </c>
      <c r="B4230" t="s">
        <v>218</v>
      </c>
      <c r="C4230" t="s">
        <v>167</v>
      </c>
    </row>
    <row r="4231" spans="1:5" x14ac:dyDescent="0.35">
      <c r="A4231" t="s">
        <v>8</v>
      </c>
    </row>
    <row r="4232" spans="1:5" x14ac:dyDescent="0.35">
      <c r="A4232" t="s">
        <v>23</v>
      </c>
    </row>
    <row r="4233" spans="1:5" x14ac:dyDescent="0.35">
      <c r="A4233" t="s">
        <v>7</v>
      </c>
    </row>
    <row r="4234" spans="1:5" x14ac:dyDescent="0.35">
      <c r="A4234" t="s">
        <v>124</v>
      </c>
      <c r="B4234" t="s">
        <v>125</v>
      </c>
    </row>
    <row r="4235" spans="1:5" x14ac:dyDescent="0.35">
      <c r="A4235" t="s">
        <v>64</v>
      </c>
      <c r="B4235" t="s">
        <v>66</v>
      </c>
      <c r="C4235" t="s">
        <v>18</v>
      </c>
      <c r="D4235" t="s">
        <v>67</v>
      </c>
      <c r="E4235" t="s">
        <v>68</v>
      </c>
    </row>
    <row r="4236" spans="1:5" x14ac:dyDescent="0.35">
      <c r="A4236" t="s">
        <v>100</v>
      </c>
      <c r="B4236" t="s">
        <v>101</v>
      </c>
      <c r="C4236" t="s">
        <v>102</v>
      </c>
    </row>
    <row r="4237" spans="1:5" x14ac:dyDescent="0.35">
      <c r="A4237" t="s">
        <v>17</v>
      </c>
    </row>
    <row r="4238" spans="1:5" x14ac:dyDescent="0.35">
      <c r="A4238" t="s">
        <v>12</v>
      </c>
    </row>
    <row r="4239" spans="1:5" x14ac:dyDescent="0.35">
      <c r="A4239" t="s">
        <v>165</v>
      </c>
      <c r="B4239" t="s">
        <v>1</v>
      </c>
    </row>
    <row r="4240" spans="1:5" x14ac:dyDescent="0.35">
      <c r="A4240" t="s">
        <v>50</v>
      </c>
      <c r="B4240" t="s">
        <v>51</v>
      </c>
      <c r="C4240" t="s">
        <v>52</v>
      </c>
    </row>
    <row r="4241" spans="1:6" x14ac:dyDescent="0.35">
      <c r="A4241" t="s">
        <v>1</v>
      </c>
    </row>
    <row r="4242" spans="1:6" x14ac:dyDescent="0.35">
      <c r="A4242" t="s">
        <v>11</v>
      </c>
    </row>
    <row r="4243" spans="1:6" x14ac:dyDescent="0.35">
      <c r="A4243" t="s">
        <v>3</v>
      </c>
    </row>
    <row r="4244" spans="1:6" x14ac:dyDescent="0.35">
      <c r="A4244" t="s">
        <v>18</v>
      </c>
    </row>
    <row r="4245" spans="1:6" x14ac:dyDescent="0.35">
      <c r="A4245" t="s">
        <v>151</v>
      </c>
      <c r="B4245" t="s">
        <v>152</v>
      </c>
      <c r="C4245" t="s">
        <v>153</v>
      </c>
    </row>
    <row r="4246" spans="1:6" x14ac:dyDescent="0.35">
      <c r="A4246" t="s">
        <v>50</v>
      </c>
      <c r="B4246" t="s">
        <v>51</v>
      </c>
      <c r="C4246" t="s">
        <v>52</v>
      </c>
      <c r="D4246" t="s">
        <v>63</v>
      </c>
    </row>
    <row r="4247" spans="1:6" x14ac:dyDescent="0.35">
      <c r="A4247" t="s">
        <v>45</v>
      </c>
      <c r="B4247" t="s">
        <v>198</v>
      </c>
    </row>
    <row r="4248" spans="1:6" x14ac:dyDescent="0.35">
      <c r="A4248" t="s">
        <v>7</v>
      </c>
    </row>
    <row r="4249" spans="1:6" x14ac:dyDescent="0.35">
      <c r="A4249" t="s">
        <v>64</v>
      </c>
      <c r="B4249" t="s">
        <v>66</v>
      </c>
      <c r="C4249" t="s">
        <v>18</v>
      </c>
      <c r="D4249" t="s">
        <v>67</v>
      </c>
      <c r="E4249" t="s">
        <v>68</v>
      </c>
    </row>
    <row r="4250" spans="1:6" x14ac:dyDescent="0.35">
      <c r="A4250" t="s">
        <v>64</v>
      </c>
      <c r="B4250" t="s">
        <v>65</v>
      </c>
      <c r="C4250" t="s">
        <v>66</v>
      </c>
      <c r="D4250" t="s">
        <v>18</v>
      </c>
      <c r="E4250" t="s">
        <v>67</v>
      </c>
      <c r="F4250" t="s">
        <v>68</v>
      </c>
    </row>
    <row r="4251" spans="1:6" x14ac:dyDescent="0.35">
      <c r="A4251" t="s">
        <v>151</v>
      </c>
      <c r="B4251" t="s">
        <v>152</v>
      </c>
      <c r="C4251" t="s">
        <v>153</v>
      </c>
    </row>
    <row r="4252" spans="1:6" x14ac:dyDescent="0.35">
      <c r="A4252" t="s">
        <v>50</v>
      </c>
      <c r="B4252" t="s">
        <v>51</v>
      </c>
      <c r="C4252" t="s">
        <v>52</v>
      </c>
    </row>
    <row r="4253" spans="1:6" x14ac:dyDescent="0.35">
      <c r="A4253" t="s">
        <v>96</v>
      </c>
      <c r="B4253" t="s">
        <v>18</v>
      </c>
    </row>
    <row r="4254" spans="1:6" x14ac:dyDescent="0.35">
      <c r="A4254" t="s">
        <v>7</v>
      </c>
    </row>
    <row r="4255" spans="1:6" x14ac:dyDescent="0.35">
      <c r="A4255" t="s">
        <v>3</v>
      </c>
    </row>
    <row r="4256" spans="1:6" x14ac:dyDescent="0.35">
      <c r="A4256" t="s">
        <v>56</v>
      </c>
      <c r="B4256" t="s">
        <v>57</v>
      </c>
      <c r="C4256" t="s">
        <v>99</v>
      </c>
    </row>
    <row r="4257" spans="1:5" x14ac:dyDescent="0.35">
      <c r="A4257" t="s">
        <v>18</v>
      </c>
      <c r="B4257" t="s">
        <v>130</v>
      </c>
      <c r="C4257" t="s">
        <v>257</v>
      </c>
    </row>
    <row r="4258" spans="1:5" x14ac:dyDescent="0.35">
      <c r="A4258" t="s">
        <v>50</v>
      </c>
      <c r="B4258" t="s">
        <v>51</v>
      </c>
      <c r="C4258" t="s">
        <v>52</v>
      </c>
    </row>
    <row r="4259" spans="1:5" x14ac:dyDescent="0.35">
      <c r="A4259" t="s">
        <v>56</v>
      </c>
      <c r="B4259" t="s">
        <v>57</v>
      </c>
      <c r="C4259" t="s">
        <v>171</v>
      </c>
      <c r="D4259" t="s">
        <v>172</v>
      </c>
      <c r="E4259" t="s">
        <v>173</v>
      </c>
    </row>
    <row r="4260" spans="1:5" x14ac:dyDescent="0.35">
      <c r="A4260" t="s">
        <v>56</v>
      </c>
      <c r="B4260" t="s">
        <v>57</v>
      </c>
    </row>
    <row r="4261" spans="1:5" x14ac:dyDescent="0.35">
      <c r="A4261" t="s">
        <v>15</v>
      </c>
    </row>
    <row r="4262" spans="1:5" x14ac:dyDescent="0.35">
      <c r="A4262" t="s">
        <v>159</v>
      </c>
      <c r="B4262" t="s">
        <v>11</v>
      </c>
    </row>
    <row r="4263" spans="1:5" x14ac:dyDescent="0.35">
      <c r="A4263" t="s">
        <v>162</v>
      </c>
      <c r="B4263" t="s">
        <v>124</v>
      </c>
    </row>
    <row r="4264" spans="1:5" x14ac:dyDescent="0.35">
      <c r="A4264" t="s">
        <v>7</v>
      </c>
    </row>
    <row r="4265" spans="1:5" x14ac:dyDescent="0.35">
      <c r="A4265" t="s">
        <v>7</v>
      </c>
    </row>
    <row r="4266" spans="1:5" x14ac:dyDescent="0.35">
      <c r="A4266" t="s">
        <v>96</v>
      </c>
      <c r="B4266" t="s">
        <v>18</v>
      </c>
    </row>
    <row r="4267" spans="1:5" x14ac:dyDescent="0.35">
      <c r="A4267" t="s">
        <v>100</v>
      </c>
      <c r="B4267" t="s">
        <v>101</v>
      </c>
      <c r="C4267" t="s">
        <v>102</v>
      </c>
    </row>
    <row r="4268" spans="1:5" x14ac:dyDescent="0.35">
      <c r="A4268" t="s">
        <v>9</v>
      </c>
    </row>
    <row r="4269" spans="1:5" x14ac:dyDescent="0.35">
      <c r="A4269" t="s">
        <v>17</v>
      </c>
    </row>
    <row r="4270" spans="1:5" x14ac:dyDescent="0.35">
      <c r="A4270" t="s">
        <v>64</v>
      </c>
      <c r="B4270" t="s">
        <v>66</v>
      </c>
      <c r="C4270" t="s">
        <v>18</v>
      </c>
      <c r="D4270" t="s">
        <v>67</v>
      </c>
      <c r="E4270" t="s">
        <v>68</v>
      </c>
    </row>
    <row r="4271" spans="1:5" x14ac:dyDescent="0.35">
      <c r="A4271" t="s">
        <v>1</v>
      </c>
      <c r="B4271" t="s">
        <v>196</v>
      </c>
    </row>
    <row r="4272" spans="1:5" x14ac:dyDescent="0.35">
      <c r="A4272" t="s">
        <v>56</v>
      </c>
      <c r="B4272" t="s">
        <v>57</v>
      </c>
      <c r="C4272" t="s">
        <v>99</v>
      </c>
    </row>
    <row r="4273" spans="1:6" x14ac:dyDescent="0.35">
      <c r="A4273" t="s">
        <v>8</v>
      </c>
    </row>
    <row r="4274" spans="1:6" x14ac:dyDescent="0.35">
      <c r="A4274" t="s">
        <v>50</v>
      </c>
      <c r="B4274" t="s">
        <v>51</v>
      </c>
      <c r="C4274" t="s">
        <v>52</v>
      </c>
      <c r="D4274" t="s">
        <v>72</v>
      </c>
      <c r="E4274" t="s">
        <v>73</v>
      </c>
      <c r="F4274" t="s">
        <v>113</v>
      </c>
    </row>
    <row r="4275" spans="1:6" x14ac:dyDescent="0.35">
      <c r="A4275" t="s">
        <v>124</v>
      </c>
      <c r="B4275" t="s">
        <v>125</v>
      </c>
    </row>
    <row r="4276" spans="1:6" x14ac:dyDescent="0.35">
      <c r="A4276" t="s">
        <v>3</v>
      </c>
    </row>
    <row r="4277" spans="1:6" x14ac:dyDescent="0.35">
      <c r="A4277" t="s">
        <v>1</v>
      </c>
    </row>
    <row r="4278" spans="1:6" x14ac:dyDescent="0.35">
      <c r="A4278" t="s">
        <v>138</v>
      </c>
      <c r="B4278" t="s">
        <v>202</v>
      </c>
      <c r="C4278" t="s">
        <v>142</v>
      </c>
      <c r="D4278" t="s">
        <v>124</v>
      </c>
    </row>
    <row r="4279" spans="1:6" x14ac:dyDescent="0.35">
      <c r="A4279" t="s">
        <v>50</v>
      </c>
      <c r="B4279" t="s">
        <v>51</v>
      </c>
      <c r="C4279" t="s">
        <v>52</v>
      </c>
      <c r="D4279" t="s">
        <v>63</v>
      </c>
    </row>
    <row r="4280" spans="1:6" x14ac:dyDescent="0.35">
      <c r="A4280" t="s">
        <v>18</v>
      </c>
      <c r="B4280" t="s">
        <v>249</v>
      </c>
    </row>
    <row r="4281" spans="1:6" x14ac:dyDescent="0.35">
      <c r="A4281" t="s">
        <v>7</v>
      </c>
    </row>
    <row r="4282" spans="1:6" x14ac:dyDescent="0.35">
      <c r="A4282" t="s">
        <v>1</v>
      </c>
      <c r="B4282" t="s">
        <v>87</v>
      </c>
      <c r="C4282" t="s">
        <v>131</v>
      </c>
    </row>
    <row r="4283" spans="1:6" x14ac:dyDescent="0.35">
      <c r="A4283" t="s">
        <v>96</v>
      </c>
      <c r="B4283" t="s">
        <v>66</v>
      </c>
      <c r="C4283" t="s">
        <v>18</v>
      </c>
      <c r="D4283" t="s">
        <v>67</v>
      </c>
      <c r="E4283" t="s">
        <v>68</v>
      </c>
    </row>
    <row r="4284" spans="1:6" x14ac:dyDescent="0.35">
      <c r="A4284" t="s">
        <v>8</v>
      </c>
    </row>
    <row r="4285" spans="1:6" x14ac:dyDescent="0.35">
      <c r="A4285" t="s">
        <v>64</v>
      </c>
      <c r="B4285" t="s">
        <v>65</v>
      </c>
      <c r="C4285" t="s">
        <v>66</v>
      </c>
      <c r="D4285" t="s">
        <v>18</v>
      </c>
      <c r="E4285" t="s">
        <v>67</v>
      </c>
      <c r="F4285" t="s">
        <v>68</v>
      </c>
    </row>
    <row r="4286" spans="1:6" x14ac:dyDescent="0.35">
      <c r="A4286" t="s">
        <v>17</v>
      </c>
    </row>
    <row r="4287" spans="1:6" x14ac:dyDescent="0.35">
      <c r="A4287" t="s">
        <v>56</v>
      </c>
      <c r="B4287" t="s">
        <v>57</v>
      </c>
    </row>
    <row r="4288" spans="1:6" x14ac:dyDescent="0.35">
      <c r="A4288" t="s">
        <v>162</v>
      </c>
      <c r="B4288" t="s">
        <v>270</v>
      </c>
      <c r="C4288" t="s">
        <v>164</v>
      </c>
      <c r="D4288" t="s">
        <v>124</v>
      </c>
    </row>
    <row r="4289" spans="1:5" x14ac:dyDescent="0.35">
      <c r="A4289" t="s">
        <v>7</v>
      </c>
    </row>
    <row r="4290" spans="1:5" x14ac:dyDescent="0.35">
      <c r="A4290" t="s">
        <v>1</v>
      </c>
      <c r="B4290" t="s">
        <v>87</v>
      </c>
    </row>
    <row r="4291" spans="1:5" x14ac:dyDescent="0.35">
      <c r="A4291" t="s">
        <v>64</v>
      </c>
      <c r="B4291" t="s">
        <v>66</v>
      </c>
      <c r="C4291" t="s">
        <v>18</v>
      </c>
      <c r="D4291" t="s">
        <v>67</v>
      </c>
      <c r="E4291" t="s">
        <v>68</v>
      </c>
    </row>
    <row r="4292" spans="1:5" x14ac:dyDescent="0.35">
      <c r="A4292" t="s">
        <v>7</v>
      </c>
    </row>
    <row r="4293" spans="1:5" x14ac:dyDescent="0.35">
      <c r="A4293" t="s">
        <v>1</v>
      </c>
    </row>
    <row r="4294" spans="1:5" x14ac:dyDescent="0.35">
      <c r="A4294" t="s">
        <v>23</v>
      </c>
    </row>
    <row r="4295" spans="1:5" x14ac:dyDescent="0.35">
      <c r="A4295" t="s">
        <v>174</v>
      </c>
      <c r="B4295" t="s">
        <v>151</v>
      </c>
      <c r="C4295" t="s">
        <v>152</v>
      </c>
      <c r="D4295" t="s">
        <v>153</v>
      </c>
    </row>
    <row r="4296" spans="1:5" x14ac:dyDescent="0.35">
      <c r="A4296" t="s">
        <v>31</v>
      </c>
    </row>
    <row r="4297" spans="1:5" x14ac:dyDescent="0.35">
      <c r="A4297" t="s">
        <v>155</v>
      </c>
      <c r="B4297" t="s">
        <v>261</v>
      </c>
    </row>
    <row r="4298" spans="1:5" x14ac:dyDescent="0.35">
      <c r="A4298" t="s">
        <v>123</v>
      </c>
      <c r="B4298" t="s">
        <v>124</v>
      </c>
      <c r="C4298" t="s">
        <v>125</v>
      </c>
    </row>
    <row r="4299" spans="1:5" x14ac:dyDescent="0.35">
      <c r="A4299" t="s">
        <v>50</v>
      </c>
      <c r="B4299" t="s">
        <v>51</v>
      </c>
      <c r="C4299" t="s">
        <v>52</v>
      </c>
      <c r="D4299" t="s">
        <v>63</v>
      </c>
    </row>
    <row r="4300" spans="1:5" x14ac:dyDescent="0.35">
      <c r="A4300" t="s">
        <v>12</v>
      </c>
    </row>
    <row r="4301" spans="1:5" x14ac:dyDescent="0.35">
      <c r="A4301" t="s">
        <v>3</v>
      </c>
    </row>
    <row r="4302" spans="1:5" x14ac:dyDescent="0.35">
      <c r="A4302" t="s">
        <v>12</v>
      </c>
    </row>
    <row r="4303" spans="1:5" x14ac:dyDescent="0.35">
      <c r="A4303" t="s">
        <v>50</v>
      </c>
      <c r="B4303" t="s">
        <v>51</v>
      </c>
      <c r="C4303" t="s">
        <v>52</v>
      </c>
      <c r="D4303" t="s">
        <v>63</v>
      </c>
    </row>
    <row r="4304" spans="1:5" x14ac:dyDescent="0.35">
      <c r="A4304" t="s">
        <v>1</v>
      </c>
      <c r="B4304" t="s">
        <v>87</v>
      </c>
    </row>
    <row r="4305" spans="1:9" x14ac:dyDescent="0.35">
      <c r="A4305" t="s">
        <v>93</v>
      </c>
      <c r="B4305" t="s">
        <v>50</v>
      </c>
      <c r="C4305" t="s">
        <v>51</v>
      </c>
      <c r="D4305" t="s">
        <v>52</v>
      </c>
      <c r="E4305" t="s">
        <v>94</v>
      </c>
      <c r="F4305" t="s">
        <v>77</v>
      </c>
      <c r="G4305" t="s">
        <v>95</v>
      </c>
    </row>
    <row r="4306" spans="1:9" x14ac:dyDescent="0.35">
      <c r="A4306" t="s">
        <v>126</v>
      </c>
      <c r="B4306" t="s">
        <v>127</v>
      </c>
    </row>
    <row r="4307" spans="1:9" x14ac:dyDescent="0.35">
      <c r="A4307" t="s">
        <v>1</v>
      </c>
    </row>
    <row r="4308" spans="1:9" x14ac:dyDescent="0.35">
      <c r="A4308" t="s">
        <v>138</v>
      </c>
      <c r="B4308" t="s">
        <v>139</v>
      </c>
      <c r="C4308" t="s">
        <v>140</v>
      </c>
      <c r="D4308" t="s">
        <v>141</v>
      </c>
      <c r="E4308" t="s">
        <v>142</v>
      </c>
      <c r="F4308" t="s">
        <v>124</v>
      </c>
      <c r="G4308" t="s">
        <v>143</v>
      </c>
      <c r="H4308" t="s">
        <v>161</v>
      </c>
      <c r="I4308" t="s">
        <v>145</v>
      </c>
    </row>
    <row r="4309" spans="1:9" x14ac:dyDescent="0.35">
      <c r="A4309" t="s">
        <v>1</v>
      </c>
      <c r="B4309" t="s">
        <v>87</v>
      </c>
      <c r="C4309" t="s">
        <v>204</v>
      </c>
    </row>
    <row r="4310" spans="1:9" x14ac:dyDescent="0.35">
      <c r="A4310" t="s">
        <v>15</v>
      </c>
    </row>
    <row r="4311" spans="1:9" x14ac:dyDescent="0.35">
      <c r="A4311" t="s">
        <v>64</v>
      </c>
      <c r="B4311" t="s">
        <v>65</v>
      </c>
      <c r="C4311" t="s">
        <v>66</v>
      </c>
      <c r="D4311" t="s">
        <v>18</v>
      </c>
      <c r="E4311" t="s">
        <v>67</v>
      </c>
      <c r="F4311" t="s">
        <v>68</v>
      </c>
    </row>
    <row r="4312" spans="1:9" x14ac:dyDescent="0.35">
      <c r="A4312" t="s">
        <v>151</v>
      </c>
      <c r="B4312" t="s">
        <v>152</v>
      </c>
      <c r="C4312" t="s">
        <v>153</v>
      </c>
    </row>
    <row r="4313" spans="1:9" x14ac:dyDescent="0.35">
      <c r="A4313" t="s">
        <v>139</v>
      </c>
      <c r="B4313" t="s">
        <v>140</v>
      </c>
      <c r="C4313" t="s">
        <v>141</v>
      </c>
      <c r="D4313" t="s">
        <v>142</v>
      </c>
      <c r="E4313" t="s">
        <v>124</v>
      </c>
    </row>
    <row r="4314" spans="1:9" x14ac:dyDescent="0.35">
      <c r="A4314" t="s">
        <v>46</v>
      </c>
    </row>
    <row r="4315" spans="1:9" x14ac:dyDescent="0.35">
      <c r="A4315" t="s">
        <v>7</v>
      </c>
    </row>
    <row r="4316" spans="1:9" x14ac:dyDescent="0.35">
      <c r="A4316" t="s">
        <v>1</v>
      </c>
      <c r="B4316" t="s">
        <v>251</v>
      </c>
    </row>
    <row r="4317" spans="1:9" x14ac:dyDescent="0.35">
      <c r="A4317" t="s">
        <v>64</v>
      </c>
      <c r="B4317" t="s">
        <v>65</v>
      </c>
      <c r="C4317" t="s">
        <v>66</v>
      </c>
      <c r="D4317" t="s">
        <v>18</v>
      </c>
      <c r="E4317" t="s">
        <v>67</v>
      </c>
      <c r="F4317" t="s">
        <v>68</v>
      </c>
    </row>
    <row r="4318" spans="1:9" x14ac:dyDescent="0.35">
      <c r="A4318" t="s">
        <v>162</v>
      </c>
      <c r="B4318" t="s">
        <v>164</v>
      </c>
      <c r="C4318" t="s">
        <v>124</v>
      </c>
      <c r="D4318" t="s">
        <v>271</v>
      </c>
    </row>
    <row r="4319" spans="1:9" x14ac:dyDescent="0.35">
      <c r="A4319" t="s">
        <v>18</v>
      </c>
      <c r="B4319" t="s">
        <v>160</v>
      </c>
    </row>
    <row r="4320" spans="1:9" x14ac:dyDescent="0.35">
      <c r="A4320" t="s">
        <v>148</v>
      </c>
      <c r="B4320" t="s">
        <v>18</v>
      </c>
    </row>
    <row r="4321" spans="1:7" x14ac:dyDescent="0.35">
      <c r="A4321" t="s">
        <v>1</v>
      </c>
      <c r="B4321" t="s">
        <v>87</v>
      </c>
      <c r="C4321" t="s">
        <v>128</v>
      </c>
    </row>
    <row r="4322" spans="1:7" x14ac:dyDescent="0.35">
      <c r="A4322" t="s">
        <v>9</v>
      </c>
    </row>
    <row r="4323" spans="1:7" x14ac:dyDescent="0.35">
      <c r="A4323" t="s">
        <v>7</v>
      </c>
    </row>
    <row r="4324" spans="1:7" x14ac:dyDescent="0.35">
      <c r="A4324" t="s">
        <v>64</v>
      </c>
      <c r="B4324" t="s">
        <v>66</v>
      </c>
      <c r="C4324" t="s">
        <v>18</v>
      </c>
      <c r="D4324" t="s">
        <v>67</v>
      </c>
      <c r="E4324" t="s">
        <v>68</v>
      </c>
    </row>
    <row r="4325" spans="1:7" x14ac:dyDescent="0.35">
      <c r="A4325" t="s">
        <v>195</v>
      </c>
      <c r="B4325" t="s">
        <v>1</v>
      </c>
    </row>
    <row r="4326" spans="1:7" x14ac:dyDescent="0.35">
      <c r="A4326" t="s">
        <v>12</v>
      </c>
    </row>
    <row r="4327" spans="1:7" x14ac:dyDescent="0.35">
      <c r="A4327" t="s">
        <v>4</v>
      </c>
    </row>
    <row r="4328" spans="1:7" x14ac:dyDescent="0.35">
      <c r="A4328" t="s">
        <v>165</v>
      </c>
      <c r="B4328" t="s">
        <v>1</v>
      </c>
    </row>
    <row r="4329" spans="1:7" x14ac:dyDescent="0.35">
      <c r="A4329" t="s">
        <v>9</v>
      </c>
    </row>
    <row r="4330" spans="1:7" x14ac:dyDescent="0.35">
      <c r="A4330" t="s">
        <v>148</v>
      </c>
      <c r="B4330" t="s">
        <v>18</v>
      </c>
    </row>
    <row r="4331" spans="1:7" x14ac:dyDescent="0.35">
      <c r="A4331" t="s">
        <v>96</v>
      </c>
      <c r="B4331" t="s">
        <v>18</v>
      </c>
    </row>
    <row r="4332" spans="1:7" x14ac:dyDescent="0.35">
      <c r="A4332" t="s">
        <v>159</v>
      </c>
      <c r="B4332" t="s">
        <v>11</v>
      </c>
    </row>
    <row r="4333" spans="1:7" x14ac:dyDescent="0.35">
      <c r="A4333" t="s">
        <v>20</v>
      </c>
    </row>
    <row r="4334" spans="1:7" x14ac:dyDescent="0.35">
      <c r="A4334" t="s">
        <v>7</v>
      </c>
    </row>
    <row r="4335" spans="1:7" x14ac:dyDescent="0.35">
      <c r="A4335" t="s">
        <v>64</v>
      </c>
      <c r="B4335" t="s">
        <v>65</v>
      </c>
      <c r="C4335" t="s">
        <v>66</v>
      </c>
      <c r="D4335" t="s">
        <v>18</v>
      </c>
      <c r="E4335" t="s">
        <v>129</v>
      </c>
      <c r="F4335" t="s">
        <v>67</v>
      </c>
      <c r="G4335" t="s">
        <v>68</v>
      </c>
    </row>
    <row r="4336" spans="1:7" x14ac:dyDescent="0.35">
      <c r="A4336" t="s">
        <v>1</v>
      </c>
    </row>
    <row r="4337" spans="1:6" x14ac:dyDescent="0.35">
      <c r="A4337" t="s">
        <v>126</v>
      </c>
      <c r="B4337" t="s">
        <v>127</v>
      </c>
    </row>
    <row r="4338" spans="1:6" x14ac:dyDescent="0.35">
      <c r="A4338" t="s">
        <v>50</v>
      </c>
      <c r="B4338" t="s">
        <v>51</v>
      </c>
      <c r="C4338" t="s">
        <v>52</v>
      </c>
      <c r="D4338" t="s">
        <v>61</v>
      </c>
    </row>
    <row r="4339" spans="1:6" x14ac:dyDescent="0.35">
      <c r="A4339" t="s">
        <v>10</v>
      </c>
    </row>
    <row r="4340" spans="1:6" x14ac:dyDescent="0.35">
      <c r="A4340" t="s">
        <v>50</v>
      </c>
      <c r="B4340" t="s">
        <v>51</v>
      </c>
      <c r="C4340" t="s">
        <v>52</v>
      </c>
      <c r="D4340" t="s">
        <v>72</v>
      </c>
      <c r="E4340" t="s">
        <v>73</v>
      </c>
    </row>
    <row r="4341" spans="1:6" x14ac:dyDescent="0.35">
      <c r="A4341" t="s">
        <v>64</v>
      </c>
      <c r="B4341" t="s">
        <v>65</v>
      </c>
      <c r="C4341" t="s">
        <v>66</v>
      </c>
      <c r="D4341" t="s">
        <v>18</v>
      </c>
      <c r="E4341" t="s">
        <v>67</v>
      </c>
      <c r="F4341" t="s">
        <v>68</v>
      </c>
    </row>
    <row r="4342" spans="1:6" x14ac:dyDescent="0.35">
      <c r="A4342" t="s">
        <v>18</v>
      </c>
    </row>
    <row r="4343" spans="1:6" x14ac:dyDescent="0.35">
      <c r="A4343" t="s">
        <v>64</v>
      </c>
      <c r="B4343" t="s">
        <v>65</v>
      </c>
      <c r="C4343" t="s">
        <v>66</v>
      </c>
      <c r="D4343" t="s">
        <v>18</v>
      </c>
      <c r="E4343" t="s">
        <v>67</v>
      </c>
      <c r="F4343" t="s">
        <v>68</v>
      </c>
    </row>
    <row r="4344" spans="1:6" x14ac:dyDescent="0.35">
      <c r="A4344" t="s">
        <v>7</v>
      </c>
    </row>
    <row r="4345" spans="1:6" x14ac:dyDescent="0.35">
      <c r="A4345" t="s">
        <v>64</v>
      </c>
      <c r="B4345" t="s">
        <v>66</v>
      </c>
      <c r="C4345" t="s">
        <v>18</v>
      </c>
      <c r="D4345" t="s">
        <v>67</v>
      </c>
      <c r="E4345" t="s">
        <v>68</v>
      </c>
    </row>
    <row r="4346" spans="1:6" x14ac:dyDescent="0.35">
      <c r="A4346" t="s">
        <v>7</v>
      </c>
    </row>
    <row r="4347" spans="1:6" x14ac:dyDescent="0.35">
      <c r="A4347" t="s">
        <v>50</v>
      </c>
      <c r="B4347" t="s">
        <v>51</v>
      </c>
      <c r="C4347" t="s">
        <v>52</v>
      </c>
      <c r="D4347" t="s">
        <v>90</v>
      </c>
    </row>
    <row r="4348" spans="1:6" x14ac:dyDescent="0.35">
      <c r="A4348" t="s">
        <v>12</v>
      </c>
    </row>
    <row r="4349" spans="1:6" x14ac:dyDescent="0.35">
      <c r="A4349" t="s">
        <v>12</v>
      </c>
    </row>
    <row r="4350" spans="1:6" x14ac:dyDescent="0.35">
      <c r="A4350" t="s">
        <v>64</v>
      </c>
      <c r="B4350" t="s">
        <v>65</v>
      </c>
      <c r="C4350" t="s">
        <v>66</v>
      </c>
      <c r="D4350" t="s">
        <v>18</v>
      </c>
      <c r="E4350" t="s">
        <v>67</v>
      </c>
      <c r="F4350" t="s">
        <v>68</v>
      </c>
    </row>
    <row r="4351" spans="1:6" x14ac:dyDescent="0.35">
      <c r="A4351" t="s">
        <v>8</v>
      </c>
    </row>
    <row r="4352" spans="1:6" x14ac:dyDescent="0.35">
      <c r="A4352" t="s">
        <v>7</v>
      </c>
    </row>
    <row r="4353" spans="1:9" x14ac:dyDescent="0.35">
      <c r="A4353" t="s">
        <v>7</v>
      </c>
    </row>
    <row r="4354" spans="1:9" x14ac:dyDescent="0.35">
      <c r="A4354" t="s">
        <v>11</v>
      </c>
    </row>
    <row r="4355" spans="1:9" x14ac:dyDescent="0.35">
      <c r="A4355" t="s">
        <v>11</v>
      </c>
      <c r="B4355" t="s">
        <v>107</v>
      </c>
    </row>
    <row r="4356" spans="1:9" x14ac:dyDescent="0.35">
      <c r="A4356" t="s">
        <v>162</v>
      </c>
      <c r="B4356" t="s">
        <v>163</v>
      </c>
      <c r="C4356" t="s">
        <v>164</v>
      </c>
      <c r="D4356" t="s">
        <v>124</v>
      </c>
    </row>
    <row r="4357" spans="1:9" x14ac:dyDescent="0.35">
      <c r="A4357" t="s">
        <v>138</v>
      </c>
      <c r="B4357" t="s">
        <v>139</v>
      </c>
      <c r="C4357" t="s">
        <v>140</v>
      </c>
      <c r="D4357" t="s">
        <v>141</v>
      </c>
      <c r="E4357" t="s">
        <v>142</v>
      </c>
      <c r="F4357" t="s">
        <v>124</v>
      </c>
      <c r="G4357" t="s">
        <v>143</v>
      </c>
      <c r="H4357" t="s">
        <v>272</v>
      </c>
      <c r="I4357" t="s">
        <v>145</v>
      </c>
    </row>
    <row r="4358" spans="1:9" x14ac:dyDescent="0.35">
      <c r="A4358" t="s">
        <v>41</v>
      </c>
      <c r="B4358" t="s">
        <v>167</v>
      </c>
    </row>
    <row r="4359" spans="1:9" x14ac:dyDescent="0.35">
      <c r="A4359" t="s">
        <v>18</v>
      </c>
      <c r="B4359" t="s">
        <v>130</v>
      </c>
    </row>
    <row r="4360" spans="1:9" x14ac:dyDescent="0.35">
      <c r="A4360" t="s">
        <v>56</v>
      </c>
      <c r="B4360" t="s">
        <v>57</v>
      </c>
    </row>
    <row r="4361" spans="1:9" x14ac:dyDescent="0.35">
      <c r="A4361" t="s">
        <v>1</v>
      </c>
    </row>
    <row r="4362" spans="1:9" x14ac:dyDescent="0.35">
      <c r="A4362" t="s">
        <v>18</v>
      </c>
      <c r="B4362" t="s">
        <v>130</v>
      </c>
    </row>
    <row r="4363" spans="1:9" x14ac:dyDescent="0.35">
      <c r="A4363" t="s">
        <v>7</v>
      </c>
    </row>
    <row r="4364" spans="1:9" x14ac:dyDescent="0.35">
      <c r="A4364" t="s">
        <v>96</v>
      </c>
      <c r="B4364" t="s">
        <v>18</v>
      </c>
    </row>
    <row r="4365" spans="1:9" x14ac:dyDescent="0.35">
      <c r="A4365" t="s">
        <v>18</v>
      </c>
      <c r="B4365" t="s">
        <v>130</v>
      </c>
    </row>
    <row r="4366" spans="1:9" x14ac:dyDescent="0.35">
      <c r="A4366" t="s">
        <v>11</v>
      </c>
    </row>
    <row r="4367" spans="1:9" x14ac:dyDescent="0.35">
      <c r="A4367" t="s">
        <v>115</v>
      </c>
      <c r="B4367" t="s">
        <v>11</v>
      </c>
    </row>
    <row r="4368" spans="1:9" x14ac:dyDescent="0.35">
      <c r="A4368" t="s">
        <v>2</v>
      </c>
    </row>
    <row r="4369" spans="1:7" x14ac:dyDescent="0.35">
      <c r="A4369" t="s">
        <v>17</v>
      </c>
    </row>
    <row r="4370" spans="1:7" x14ac:dyDescent="0.35">
      <c r="A4370" t="s">
        <v>64</v>
      </c>
      <c r="B4370" t="s">
        <v>65</v>
      </c>
      <c r="C4370" t="s">
        <v>66</v>
      </c>
      <c r="D4370" t="s">
        <v>18</v>
      </c>
      <c r="E4370" t="s">
        <v>129</v>
      </c>
      <c r="F4370" t="s">
        <v>67</v>
      </c>
      <c r="G4370" t="s">
        <v>68</v>
      </c>
    </row>
    <row r="4371" spans="1:7" x14ac:dyDescent="0.35">
      <c r="A4371" t="s">
        <v>24</v>
      </c>
    </row>
    <row r="4372" spans="1:7" x14ac:dyDescent="0.35">
      <c r="A4372" t="s">
        <v>38</v>
      </c>
    </row>
    <row r="4373" spans="1:7" x14ac:dyDescent="0.35">
      <c r="A4373" t="s">
        <v>24</v>
      </c>
    </row>
    <row r="4374" spans="1:7" x14ac:dyDescent="0.35">
      <c r="A4374" t="s">
        <v>50</v>
      </c>
      <c r="B4374" t="s">
        <v>51</v>
      </c>
      <c r="C4374" t="s">
        <v>52</v>
      </c>
      <c r="D4374" t="s">
        <v>74</v>
      </c>
      <c r="E4374" t="s">
        <v>75</v>
      </c>
    </row>
    <row r="4375" spans="1:7" x14ac:dyDescent="0.35">
      <c r="A4375" t="s">
        <v>162</v>
      </c>
      <c r="B4375" t="s">
        <v>247</v>
      </c>
      <c r="C4375" t="s">
        <v>164</v>
      </c>
      <c r="D4375" t="s">
        <v>124</v>
      </c>
    </row>
    <row r="4376" spans="1:7" x14ac:dyDescent="0.35">
      <c r="A4376" t="s">
        <v>7</v>
      </c>
    </row>
    <row r="4377" spans="1:7" x14ac:dyDescent="0.35">
      <c r="A4377" t="s">
        <v>93</v>
      </c>
      <c r="B4377" t="s">
        <v>50</v>
      </c>
      <c r="C4377" t="s">
        <v>51</v>
      </c>
      <c r="D4377" t="s">
        <v>52</v>
      </c>
    </row>
    <row r="4378" spans="1:7" x14ac:dyDescent="0.35">
      <c r="A4378" t="s">
        <v>1</v>
      </c>
      <c r="B4378" t="s">
        <v>87</v>
      </c>
      <c r="C4378" t="s">
        <v>128</v>
      </c>
    </row>
    <row r="4379" spans="1:7" x14ac:dyDescent="0.35">
      <c r="A4379" t="s">
        <v>115</v>
      </c>
      <c r="B4379" t="s">
        <v>11</v>
      </c>
    </row>
    <row r="4380" spans="1:7" x14ac:dyDescent="0.35">
      <c r="A4380" t="s">
        <v>96</v>
      </c>
      <c r="B4380" t="s">
        <v>18</v>
      </c>
    </row>
    <row r="4381" spans="1:7" x14ac:dyDescent="0.35">
      <c r="A4381" t="s">
        <v>2</v>
      </c>
    </row>
    <row r="4382" spans="1:7" x14ac:dyDescent="0.35">
      <c r="A4382" t="s">
        <v>42</v>
      </c>
    </row>
    <row r="4383" spans="1:7" x14ac:dyDescent="0.35">
      <c r="A4383" t="s">
        <v>24</v>
      </c>
    </row>
    <row r="4384" spans="1:7" x14ac:dyDescent="0.35">
      <c r="A4384" t="s">
        <v>126</v>
      </c>
      <c r="B4384" t="s">
        <v>127</v>
      </c>
    </row>
    <row r="4385" spans="1:9" x14ac:dyDescent="0.35">
      <c r="A4385" t="s">
        <v>5</v>
      </c>
    </row>
    <row r="4386" spans="1:9" x14ac:dyDescent="0.35">
      <c r="A4386" t="s">
        <v>8</v>
      </c>
    </row>
    <row r="4387" spans="1:9" x14ac:dyDescent="0.35">
      <c r="A4387" t="s">
        <v>56</v>
      </c>
      <c r="B4387" t="s">
        <v>57</v>
      </c>
    </row>
    <row r="4388" spans="1:9" x14ac:dyDescent="0.35">
      <c r="A4388" t="s">
        <v>22</v>
      </c>
    </row>
    <row r="4389" spans="1:9" x14ac:dyDescent="0.35">
      <c r="A4389" t="s">
        <v>64</v>
      </c>
      <c r="B4389" t="s">
        <v>65</v>
      </c>
      <c r="C4389" t="s">
        <v>18</v>
      </c>
    </row>
    <row r="4390" spans="1:9" x14ac:dyDescent="0.35">
      <c r="A4390" t="s">
        <v>162</v>
      </c>
      <c r="B4390" t="s">
        <v>124</v>
      </c>
    </row>
    <row r="4391" spans="1:9" x14ac:dyDescent="0.35">
      <c r="A4391" t="s">
        <v>7</v>
      </c>
    </row>
    <row r="4392" spans="1:9" x14ac:dyDescent="0.35">
      <c r="A4392" t="s">
        <v>9</v>
      </c>
    </row>
    <row r="4393" spans="1:9" x14ac:dyDescent="0.35">
      <c r="A4393" t="s">
        <v>10</v>
      </c>
    </row>
    <row r="4394" spans="1:9" x14ac:dyDescent="0.35">
      <c r="A4394" t="s">
        <v>138</v>
      </c>
      <c r="B4394" t="s">
        <v>139</v>
      </c>
      <c r="C4394" t="s">
        <v>140</v>
      </c>
      <c r="D4394" t="s">
        <v>141</v>
      </c>
      <c r="E4394" t="s">
        <v>142</v>
      </c>
      <c r="F4394" t="s">
        <v>124</v>
      </c>
      <c r="G4394" t="s">
        <v>143</v>
      </c>
      <c r="H4394" t="s">
        <v>226</v>
      </c>
      <c r="I4394" t="s">
        <v>145</v>
      </c>
    </row>
    <row r="4395" spans="1:9" x14ac:dyDescent="0.35">
      <c r="A4395" t="s">
        <v>23</v>
      </c>
    </row>
    <row r="4396" spans="1:9" x14ac:dyDescent="0.35">
      <c r="A4396" t="s">
        <v>12</v>
      </c>
    </row>
    <row r="4397" spans="1:9" x14ac:dyDescent="0.35">
      <c r="A4397" t="s">
        <v>17</v>
      </c>
    </row>
    <row r="4398" spans="1:9" x14ac:dyDescent="0.35">
      <c r="A4398" t="s">
        <v>96</v>
      </c>
      <c r="B4398" t="s">
        <v>18</v>
      </c>
    </row>
    <row r="4399" spans="1:9" x14ac:dyDescent="0.35">
      <c r="A4399" t="s">
        <v>15</v>
      </c>
    </row>
    <row r="4400" spans="1:9" x14ac:dyDescent="0.35">
      <c r="A4400" t="s">
        <v>10</v>
      </c>
    </row>
    <row r="4401" spans="1:7" x14ac:dyDescent="0.35">
      <c r="A4401" t="s">
        <v>96</v>
      </c>
      <c r="B4401" t="s">
        <v>18</v>
      </c>
    </row>
    <row r="4402" spans="1:7" x14ac:dyDescent="0.35">
      <c r="A4402" t="s">
        <v>64</v>
      </c>
      <c r="B4402" t="s">
        <v>65</v>
      </c>
      <c r="C4402" t="s">
        <v>66</v>
      </c>
      <c r="D4402" t="s">
        <v>18</v>
      </c>
      <c r="E4402" t="s">
        <v>67</v>
      </c>
      <c r="F4402" t="s">
        <v>68</v>
      </c>
    </row>
    <row r="4403" spans="1:7" x14ac:dyDescent="0.35">
      <c r="A4403" t="s">
        <v>7</v>
      </c>
    </row>
    <row r="4404" spans="1:7" x14ac:dyDescent="0.35">
      <c r="A4404" t="s">
        <v>25</v>
      </c>
    </row>
    <row r="4405" spans="1:7" x14ac:dyDescent="0.35">
      <c r="A4405" t="s">
        <v>39</v>
      </c>
    </row>
    <row r="4406" spans="1:7" x14ac:dyDescent="0.35">
      <c r="A4406" t="s">
        <v>151</v>
      </c>
      <c r="B4406" t="s">
        <v>152</v>
      </c>
      <c r="C4406" t="s">
        <v>153</v>
      </c>
    </row>
    <row r="4407" spans="1:7" x14ac:dyDescent="0.35">
      <c r="A4407" t="s">
        <v>64</v>
      </c>
      <c r="B4407" t="s">
        <v>66</v>
      </c>
      <c r="C4407" t="s">
        <v>18</v>
      </c>
      <c r="D4407" t="s">
        <v>67</v>
      </c>
      <c r="E4407" t="s">
        <v>68</v>
      </c>
    </row>
    <row r="4408" spans="1:7" x14ac:dyDescent="0.35">
      <c r="A4408" t="s">
        <v>3</v>
      </c>
    </row>
    <row r="4409" spans="1:7" x14ac:dyDescent="0.35">
      <c r="A4409" t="s">
        <v>1</v>
      </c>
      <c r="B4409" t="s">
        <v>87</v>
      </c>
      <c r="C4409" t="s">
        <v>131</v>
      </c>
    </row>
    <row r="4410" spans="1:7" x14ac:dyDescent="0.35">
      <c r="A4410" t="s">
        <v>20</v>
      </c>
    </row>
    <row r="4411" spans="1:7" x14ac:dyDescent="0.35">
      <c r="A4411" t="s">
        <v>93</v>
      </c>
      <c r="B4411" t="s">
        <v>50</v>
      </c>
      <c r="C4411" t="s">
        <v>51</v>
      </c>
      <c r="D4411" t="s">
        <v>52</v>
      </c>
      <c r="E4411" t="s">
        <v>94</v>
      </c>
      <c r="F4411" t="s">
        <v>77</v>
      </c>
      <c r="G4411" t="s">
        <v>95</v>
      </c>
    </row>
    <row r="4412" spans="1:7" x14ac:dyDescent="0.35">
      <c r="A4412" t="s">
        <v>12</v>
      </c>
    </row>
    <row r="4413" spans="1:7" x14ac:dyDescent="0.35">
      <c r="A4413" t="s">
        <v>37</v>
      </c>
    </row>
    <row r="4414" spans="1:7" x14ac:dyDescent="0.35">
      <c r="A4414" t="s">
        <v>15</v>
      </c>
    </row>
    <row r="4415" spans="1:7" x14ac:dyDescent="0.35">
      <c r="A4415" t="s">
        <v>18</v>
      </c>
    </row>
    <row r="4416" spans="1:7" x14ac:dyDescent="0.35">
      <c r="A4416" t="s">
        <v>18</v>
      </c>
      <c r="B4416" t="s">
        <v>273</v>
      </c>
    </row>
    <row r="4417" spans="1:7" x14ac:dyDescent="0.35">
      <c r="A4417" t="s">
        <v>151</v>
      </c>
      <c r="B4417" t="s">
        <v>152</v>
      </c>
      <c r="C4417" t="s">
        <v>153</v>
      </c>
    </row>
    <row r="4418" spans="1:7" x14ac:dyDescent="0.35">
      <c r="A4418" t="s">
        <v>3</v>
      </c>
      <c r="B4418" t="s">
        <v>117</v>
      </c>
    </row>
    <row r="4419" spans="1:7" x14ac:dyDescent="0.35">
      <c r="A4419" t="s">
        <v>1</v>
      </c>
    </row>
    <row r="4420" spans="1:7" x14ac:dyDescent="0.35">
      <c r="A4420" t="s">
        <v>1</v>
      </c>
    </row>
    <row r="4421" spans="1:7" x14ac:dyDescent="0.35">
      <c r="A4421" t="s">
        <v>56</v>
      </c>
      <c r="B4421" t="s">
        <v>57</v>
      </c>
      <c r="C4421" t="s">
        <v>99</v>
      </c>
    </row>
    <row r="4422" spans="1:7" x14ac:dyDescent="0.35">
      <c r="A4422" t="s">
        <v>100</v>
      </c>
      <c r="B4422" t="s">
        <v>101</v>
      </c>
      <c r="C4422" t="s">
        <v>102</v>
      </c>
    </row>
    <row r="4423" spans="1:7" x14ac:dyDescent="0.35">
      <c r="A4423" t="s">
        <v>17</v>
      </c>
    </row>
    <row r="4424" spans="1:7" x14ac:dyDescent="0.35">
      <c r="A4424" t="s">
        <v>7</v>
      </c>
    </row>
    <row r="4425" spans="1:7" x14ac:dyDescent="0.35">
      <c r="A4425" t="s">
        <v>64</v>
      </c>
      <c r="B4425" t="s">
        <v>65</v>
      </c>
      <c r="C4425" t="s">
        <v>66</v>
      </c>
      <c r="D4425" t="s">
        <v>18</v>
      </c>
      <c r="E4425" t="s">
        <v>129</v>
      </c>
      <c r="F4425" t="s">
        <v>67</v>
      </c>
      <c r="G4425" t="s">
        <v>68</v>
      </c>
    </row>
    <row r="4426" spans="1:7" x14ac:dyDescent="0.35">
      <c r="A4426" t="s">
        <v>162</v>
      </c>
      <c r="B4426" t="s">
        <v>274</v>
      </c>
      <c r="C4426" t="s">
        <v>164</v>
      </c>
      <c r="D4426" t="s">
        <v>124</v>
      </c>
    </row>
    <row r="4427" spans="1:7" x14ac:dyDescent="0.35">
      <c r="A4427" t="s">
        <v>1</v>
      </c>
    </row>
    <row r="4428" spans="1:7" x14ac:dyDescent="0.35">
      <c r="A4428" t="s">
        <v>96</v>
      </c>
      <c r="B4428" t="s">
        <v>18</v>
      </c>
    </row>
    <row r="4429" spans="1:7" x14ac:dyDescent="0.35">
      <c r="A4429" t="s">
        <v>105</v>
      </c>
      <c r="B4429" t="s">
        <v>137</v>
      </c>
      <c r="C4429" t="s">
        <v>11</v>
      </c>
    </row>
    <row r="4430" spans="1:7" x14ac:dyDescent="0.35">
      <c r="A4430" t="s">
        <v>26</v>
      </c>
    </row>
    <row r="4431" spans="1:7" x14ac:dyDescent="0.35">
      <c r="A4431" t="s">
        <v>8</v>
      </c>
    </row>
    <row r="4432" spans="1:7" x14ac:dyDescent="0.35">
      <c r="A4432" t="s">
        <v>7</v>
      </c>
    </row>
    <row r="4433" spans="1:6" x14ac:dyDescent="0.35">
      <c r="A4433" t="s">
        <v>12</v>
      </c>
    </row>
    <row r="4434" spans="1:6" x14ac:dyDescent="0.35">
      <c r="A4434" t="s">
        <v>12</v>
      </c>
    </row>
    <row r="4435" spans="1:6" x14ac:dyDescent="0.35">
      <c r="A4435" t="s">
        <v>3</v>
      </c>
    </row>
    <row r="4436" spans="1:6" x14ac:dyDescent="0.35">
      <c r="A4436" t="s">
        <v>18</v>
      </c>
      <c r="B4436" t="s">
        <v>160</v>
      </c>
    </row>
    <row r="4437" spans="1:6" x14ac:dyDescent="0.35">
      <c r="A4437" t="s">
        <v>18</v>
      </c>
      <c r="B4437" t="s">
        <v>130</v>
      </c>
    </row>
    <row r="4438" spans="1:6" x14ac:dyDescent="0.35">
      <c r="A4438" t="s">
        <v>7</v>
      </c>
    </row>
    <row r="4439" spans="1:6" x14ac:dyDescent="0.35">
      <c r="A4439" t="s">
        <v>12</v>
      </c>
    </row>
    <row r="4440" spans="1:6" x14ac:dyDescent="0.35">
      <c r="A4440" t="s">
        <v>1</v>
      </c>
    </row>
    <row r="4441" spans="1:6" x14ac:dyDescent="0.35">
      <c r="A4441" t="s">
        <v>3</v>
      </c>
    </row>
    <row r="4442" spans="1:6" x14ac:dyDescent="0.35">
      <c r="A4442" t="s">
        <v>20</v>
      </c>
    </row>
    <row r="4443" spans="1:6" x14ac:dyDescent="0.35">
      <c r="A4443" t="s">
        <v>56</v>
      </c>
      <c r="B4443" t="s">
        <v>57</v>
      </c>
    </row>
    <row r="4444" spans="1:6" x14ac:dyDescent="0.35">
      <c r="A4444" t="s">
        <v>50</v>
      </c>
      <c r="B4444" t="s">
        <v>70</v>
      </c>
      <c r="C4444" t="s">
        <v>51</v>
      </c>
      <c r="D4444" t="s">
        <v>52</v>
      </c>
      <c r="E4444" t="s">
        <v>63</v>
      </c>
      <c r="F4444" t="s">
        <v>71</v>
      </c>
    </row>
    <row r="4445" spans="1:6" x14ac:dyDescent="0.35">
      <c r="A4445" t="s">
        <v>1</v>
      </c>
    </row>
    <row r="4446" spans="1:6" x14ac:dyDescent="0.35">
      <c r="A4446" t="s">
        <v>50</v>
      </c>
      <c r="B4446" t="s">
        <v>51</v>
      </c>
      <c r="C4446" t="s">
        <v>52</v>
      </c>
      <c r="D4446" t="s">
        <v>61</v>
      </c>
    </row>
    <row r="4447" spans="1:6" x14ac:dyDescent="0.35">
      <c r="A4447" t="s">
        <v>1</v>
      </c>
    </row>
    <row r="4448" spans="1:6" x14ac:dyDescent="0.35">
      <c r="A4448" t="s">
        <v>56</v>
      </c>
      <c r="B4448" t="s">
        <v>57</v>
      </c>
      <c r="C4448" t="s">
        <v>171</v>
      </c>
      <c r="D4448" t="s">
        <v>172</v>
      </c>
      <c r="E4448" t="s">
        <v>173</v>
      </c>
    </row>
    <row r="4449" spans="1:9" x14ac:dyDescent="0.35">
      <c r="A4449" t="s">
        <v>50</v>
      </c>
      <c r="B4449" t="s">
        <v>51</v>
      </c>
      <c r="C4449" t="s">
        <v>52</v>
      </c>
      <c r="D4449" t="s">
        <v>53</v>
      </c>
      <c r="E4449" t="s">
        <v>54</v>
      </c>
    </row>
    <row r="4450" spans="1:9" x14ac:dyDescent="0.35">
      <c r="A4450" t="s">
        <v>11</v>
      </c>
      <c r="B4450" t="s">
        <v>107</v>
      </c>
    </row>
    <row r="4451" spans="1:9" x14ac:dyDescent="0.35">
      <c r="A4451" t="s">
        <v>96</v>
      </c>
      <c r="B4451" t="s">
        <v>18</v>
      </c>
    </row>
    <row r="4452" spans="1:9" x14ac:dyDescent="0.35">
      <c r="A4452" t="s">
        <v>50</v>
      </c>
      <c r="B4452" t="s">
        <v>51</v>
      </c>
      <c r="C4452" t="s">
        <v>52</v>
      </c>
      <c r="D4452" t="s">
        <v>53</v>
      </c>
      <c r="E4452" t="s">
        <v>54</v>
      </c>
    </row>
    <row r="4453" spans="1:9" x14ac:dyDescent="0.35">
      <c r="A4453" t="s">
        <v>24</v>
      </c>
    </row>
    <row r="4454" spans="1:9" x14ac:dyDescent="0.35">
      <c r="A4454" t="s">
        <v>23</v>
      </c>
    </row>
    <row r="4455" spans="1:9" x14ac:dyDescent="0.35">
      <c r="A4455" t="s">
        <v>138</v>
      </c>
      <c r="B4455" t="s">
        <v>139</v>
      </c>
      <c r="C4455" t="s">
        <v>140</v>
      </c>
      <c r="D4455" t="s">
        <v>141</v>
      </c>
      <c r="E4455" t="s">
        <v>142</v>
      </c>
      <c r="F4455" t="s">
        <v>124</v>
      </c>
      <c r="G4455" t="s">
        <v>143</v>
      </c>
      <c r="H4455" t="s">
        <v>275</v>
      </c>
      <c r="I4455" t="s">
        <v>145</v>
      </c>
    </row>
    <row r="4456" spans="1:9" x14ac:dyDescent="0.35">
      <c r="A4456" t="s">
        <v>10</v>
      </c>
    </row>
    <row r="4457" spans="1:9" x14ac:dyDescent="0.35">
      <c r="A4457" t="s">
        <v>12</v>
      </c>
    </row>
    <row r="4458" spans="1:9" x14ac:dyDescent="0.35">
      <c r="A4458" t="s">
        <v>3</v>
      </c>
    </row>
    <row r="4459" spans="1:9" x14ac:dyDescent="0.35">
      <c r="A4459" t="s">
        <v>115</v>
      </c>
      <c r="B4459" t="s">
        <v>11</v>
      </c>
    </row>
    <row r="4460" spans="1:9" x14ac:dyDescent="0.35">
      <c r="A4460" t="s">
        <v>50</v>
      </c>
      <c r="B4460" t="s">
        <v>51</v>
      </c>
      <c r="C4460" t="s">
        <v>52</v>
      </c>
      <c r="D4460" t="s">
        <v>60</v>
      </c>
      <c r="E4460" t="s">
        <v>61</v>
      </c>
    </row>
    <row r="4461" spans="1:9" x14ac:dyDescent="0.35">
      <c r="A4461" t="s">
        <v>96</v>
      </c>
      <c r="B4461" t="s">
        <v>66</v>
      </c>
      <c r="C4461" t="s">
        <v>18</v>
      </c>
      <c r="D4461" t="s">
        <v>67</v>
      </c>
      <c r="E4461" t="s">
        <v>68</v>
      </c>
    </row>
    <row r="4462" spans="1:9" x14ac:dyDescent="0.35">
      <c r="A4462" t="s">
        <v>18</v>
      </c>
      <c r="B4462" t="s">
        <v>190</v>
      </c>
    </row>
    <row r="4463" spans="1:9" x14ac:dyDescent="0.35">
      <c r="A4463" t="s">
        <v>1</v>
      </c>
      <c r="B4463" t="s">
        <v>87</v>
      </c>
      <c r="C4463" t="s">
        <v>128</v>
      </c>
    </row>
    <row r="4464" spans="1:9" x14ac:dyDescent="0.35">
      <c r="A4464" t="s">
        <v>64</v>
      </c>
      <c r="B4464" t="s">
        <v>205</v>
      </c>
      <c r="C4464" t="s">
        <v>66</v>
      </c>
      <c r="D4464" t="s">
        <v>18</v>
      </c>
      <c r="E4464" t="s">
        <v>67</v>
      </c>
      <c r="F4464" t="s">
        <v>68</v>
      </c>
    </row>
    <row r="4465" spans="1:7" x14ac:dyDescent="0.35">
      <c r="A4465" t="s">
        <v>96</v>
      </c>
      <c r="B4465" t="s">
        <v>66</v>
      </c>
      <c r="C4465" t="s">
        <v>18</v>
      </c>
      <c r="D4465" t="s">
        <v>67</v>
      </c>
      <c r="E4465" t="s">
        <v>68</v>
      </c>
    </row>
    <row r="4466" spans="1:7" x14ac:dyDescent="0.35">
      <c r="A4466" t="s">
        <v>5</v>
      </c>
    </row>
    <row r="4467" spans="1:7" x14ac:dyDescent="0.35">
      <c r="A4467" t="s">
        <v>17</v>
      </c>
    </row>
    <row r="4468" spans="1:7" x14ac:dyDescent="0.35">
      <c r="A4468" t="s">
        <v>17</v>
      </c>
    </row>
    <row r="4469" spans="1:7" x14ac:dyDescent="0.35">
      <c r="A4469" t="s">
        <v>56</v>
      </c>
      <c r="B4469" t="s">
        <v>57</v>
      </c>
    </row>
    <row r="4470" spans="1:7" x14ac:dyDescent="0.35">
      <c r="A4470" t="s">
        <v>4</v>
      </c>
    </row>
    <row r="4471" spans="1:7" x14ac:dyDescent="0.35">
      <c r="A4471" t="s">
        <v>50</v>
      </c>
      <c r="B4471" t="s">
        <v>51</v>
      </c>
      <c r="C4471" t="s">
        <v>52</v>
      </c>
      <c r="D4471" t="s">
        <v>63</v>
      </c>
    </row>
    <row r="4472" spans="1:7" x14ac:dyDescent="0.35">
      <c r="A4472" t="s">
        <v>18</v>
      </c>
      <c r="B4472" t="s">
        <v>160</v>
      </c>
    </row>
    <row r="4473" spans="1:7" x14ac:dyDescent="0.35">
      <c r="A4473" t="s">
        <v>64</v>
      </c>
      <c r="B4473" t="s">
        <v>66</v>
      </c>
      <c r="C4473" t="s">
        <v>18</v>
      </c>
      <c r="D4473" t="s">
        <v>67</v>
      </c>
      <c r="E4473" t="s">
        <v>68</v>
      </c>
    </row>
    <row r="4474" spans="1:7" x14ac:dyDescent="0.35">
      <c r="A4474" t="s">
        <v>96</v>
      </c>
      <c r="B4474" t="s">
        <v>18</v>
      </c>
    </row>
    <row r="4475" spans="1:7" x14ac:dyDescent="0.35">
      <c r="A4475" t="s">
        <v>64</v>
      </c>
      <c r="B4475" t="s">
        <v>65</v>
      </c>
      <c r="C4475" t="s">
        <v>158</v>
      </c>
      <c r="D4475" t="s">
        <v>66</v>
      </c>
      <c r="E4475" t="s">
        <v>18</v>
      </c>
      <c r="F4475" t="s">
        <v>67</v>
      </c>
      <c r="G4475" t="s">
        <v>68</v>
      </c>
    </row>
    <row r="4476" spans="1:7" x14ac:dyDescent="0.35">
      <c r="A4476" t="s">
        <v>50</v>
      </c>
      <c r="B4476" t="s">
        <v>51</v>
      </c>
      <c r="C4476" t="s">
        <v>82</v>
      </c>
      <c r="D4476" t="s">
        <v>52</v>
      </c>
      <c r="E4476" t="s">
        <v>77</v>
      </c>
      <c r="F4476" t="s">
        <v>83</v>
      </c>
      <c r="G4476" t="s">
        <v>84</v>
      </c>
    </row>
    <row r="4477" spans="1:7" x14ac:dyDescent="0.35">
      <c r="A4477" t="s">
        <v>162</v>
      </c>
      <c r="B4477" t="s">
        <v>276</v>
      </c>
      <c r="C4477" t="s">
        <v>164</v>
      </c>
      <c r="D4477" t="s">
        <v>124</v>
      </c>
      <c r="E4477" t="s">
        <v>277</v>
      </c>
    </row>
    <row r="4478" spans="1:7" x14ac:dyDescent="0.35">
      <c r="A4478" t="s">
        <v>195</v>
      </c>
      <c r="B4478" t="s">
        <v>1</v>
      </c>
    </row>
    <row r="4479" spans="1:7" x14ac:dyDescent="0.35">
      <c r="A4479" t="s">
        <v>64</v>
      </c>
      <c r="B4479" t="s">
        <v>65</v>
      </c>
      <c r="C4479" t="s">
        <v>66</v>
      </c>
      <c r="D4479" t="s">
        <v>18</v>
      </c>
      <c r="E4479" t="s">
        <v>67</v>
      </c>
      <c r="F4479" t="s">
        <v>68</v>
      </c>
    </row>
    <row r="4480" spans="1:7" x14ac:dyDescent="0.35">
      <c r="A4480" t="s">
        <v>105</v>
      </c>
      <c r="B4480" t="s">
        <v>14</v>
      </c>
    </row>
    <row r="4481" spans="1:8" x14ac:dyDescent="0.35">
      <c r="A4481" t="s">
        <v>18</v>
      </c>
      <c r="B4481" t="s">
        <v>130</v>
      </c>
    </row>
    <row r="4482" spans="1:8" x14ac:dyDescent="0.35">
      <c r="A4482" t="s">
        <v>3</v>
      </c>
    </row>
    <row r="4483" spans="1:8" x14ac:dyDescent="0.35">
      <c r="A4483" t="s">
        <v>17</v>
      </c>
    </row>
    <row r="4484" spans="1:8" x14ac:dyDescent="0.35">
      <c r="A4484" t="s">
        <v>10</v>
      </c>
    </row>
    <row r="4485" spans="1:8" x14ac:dyDescent="0.35">
      <c r="A4485" t="s">
        <v>159</v>
      </c>
      <c r="B4485" t="s">
        <v>11</v>
      </c>
    </row>
    <row r="4486" spans="1:8" x14ac:dyDescent="0.35">
      <c r="A4486" t="s">
        <v>50</v>
      </c>
      <c r="B4486" t="s">
        <v>51</v>
      </c>
      <c r="C4486" t="s">
        <v>52</v>
      </c>
      <c r="D4486" t="s">
        <v>63</v>
      </c>
    </row>
    <row r="4487" spans="1:8" x14ac:dyDescent="0.35">
      <c r="A4487" t="s">
        <v>100</v>
      </c>
      <c r="B4487" t="s">
        <v>101</v>
      </c>
      <c r="C4487" t="s">
        <v>102</v>
      </c>
    </row>
    <row r="4488" spans="1:8" x14ac:dyDescent="0.35">
      <c r="A4488" t="s">
        <v>18</v>
      </c>
    </row>
    <row r="4489" spans="1:8" x14ac:dyDescent="0.35">
      <c r="A4489" t="s">
        <v>29</v>
      </c>
      <c r="B4489" t="s">
        <v>219</v>
      </c>
      <c r="C4489" t="s">
        <v>207</v>
      </c>
      <c r="D4489" t="s">
        <v>220</v>
      </c>
      <c r="E4489" t="s">
        <v>269</v>
      </c>
      <c r="F4489" t="s">
        <v>167</v>
      </c>
      <c r="G4489" t="s">
        <v>208</v>
      </c>
      <c r="H4489" t="s">
        <v>168</v>
      </c>
    </row>
    <row r="4490" spans="1:8" x14ac:dyDescent="0.35">
      <c r="A4490" t="s">
        <v>50</v>
      </c>
      <c r="B4490" t="s">
        <v>51</v>
      </c>
      <c r="C4490" t="s">
        <v>82</v>
      </c>
      <c r="D4490" t="s">
        <v>52</v>
      </c>
      <c r="E4490" t="s">
        <v>77</v>
      </c>
      <c r="F4490" t="s">
        <v>83</v>
      </c>
      <c r="G4490" t="s">
        <v>84</v>
      </c>
    </row>
    <row r="4491" spans="1:8" x14ac:dyDescent="0.35">
      <c r="A4491" t="s">
        <v>7</v>
      </c>
    </row>
    <row r="4492" spans="1:8" x14ac:dyDescent="0.35">
      <c r="A4492" t="s">
        <v>108</v>
      </c>
      <c r="B4492" t="s">
        <v>11</v>
      </c>
    </row>
    <row r="4493" spans="1:8" x14ac:dyDescent="0.35">
      <c r="A4493" t="s">
        <v>81</v>
      </c>
      <c r="B4493" t="s">
        <v>11</v>
      </c>
    </row>
    <row r="4494" spans="1:8" x14ac:dyDescent="0.35">
      <c r="A4494" t="s">
        <v>50</v>
      </c>
      <c r="B4494" t="s">
        <v>51</v>
      </c>
      <c r="C4494" t="s">
        <v>52</v>
      </c>
    </row>
    <row r="4495" spans="1:8" x14ac:dyDescent="0.35">
      <c r="A4495" t="s">
        <v>50</v>
      </c>
      <c r="B4495" t="s">
        <v>51</v>
      </c>
      <c r="C4495" t="s">
        <v>52</v>
      </c>
      <c r="D4495" t="s">
        <v>61</v>
      </c>
    </row>
    <row r="4496" spans="1:8" x14ac:dyDescent="0.35">
      <c r="A4496" t="s">
        <v>15</v>
      </c>
    </row>
    <row r="4497" spans="1:10" x14ac:dyDescent="0.35">
      <c r="A4497" t="s">
        <v>18</v>
      </c>
    </row>
    <row r="4498" spans="1:10" x14ac:dyDescent="0.35">
      <c r="A4498" t="s">
        <v>15</v>
      </c>
    </row>
    <row r="4499" spans="1:10" x14ac:dyDescent="0.35">
      <c r="A4499" t="s">
        <v>12</v>
      </c>
    </row>
    <row r="4500" spans="1:10" x14ac:dyDescent="0.35">
      <c r="A4500" t="s">
        <v>10</v>
      </c>
    </row>
    <row r="4501" spans="1:10" x14ac:dyDescent="0.35">
      <c r="A4501" t="s">
        <v>1</v>
      </c>
      <c r="B4501" t="s">
        <v>87</v>
      </c>
      <c r="C4501" t="s">
        <v>170</v>
      </c>
    </row>
    <row r="4502" spans="1:10" x14ac:dyDescent="0.35">
      <c r="A4502" t="s">
        <v>7</v>
      </c>
    </row>
    <row r="4503" spans="1:10" x14ac:dyDescent="0.35">
      <c r="A4503" t="s">
        <v>64</v>
      </c>
      <c r="B4503" t="s">
        <v>65</v>
      </c>
      <c r="C4503" t="s">
        <v>66</v>
      </c>
      <c r="D4503" t="s">
        <v>18</v>
      </c>
      <c r="E4503" t="s">
        <v>67</v>
      </c>
      <c r="F4503" t="s">
        <v>68</v>
      </c>
    </row>
    <row r="4504" spans="1:10" x14ac:dyDescent="0.35">
      <c r="A4504" t="s">
        <v>12</v>
      </c>
    </row>
    <row r="4505" spans="1:10" x14ac:dyDescent="0.35">
      <c r="A4505" t="s">
        <v>50</v>
      </c>
      <c r="B4505" t="s">
        <v>51</v>
      </c>
      <c r="C4505" t="s">
        <v>52</v>
      </c>
      <c r="D4505" t="s">
        <v>61</v>
      </c>
    </row>
    <row r="4506" spans="1:10" x14ac:dyDescent="0.35">
      <c r="A4506" t="s">
        <v>1</v>
      </c>
      <c r="B4506" t="s">
        <v>87</v>
      </c>
      <c r="C4506" t="s">
        <v>201</v>
      </c>
    </row>
    <row r="4507" spans="1:10" x14ac:dyDescent="0.35">
      <c r="A4507" t="s">
        <v>1</v>
      </c>
      <c r="B4507" t="s">
        <v>87</v>
      </c>
      <c r="C4507" t="s">
        <v>204</v>
      </c>
    </row>
    <row r="4508" spans="1:10" x14ac:dyDescent="0.35">
      <c r="A4508" t="s">
        <v>138</v>
      </c>
      <c r="B4508" t="s">
        <v>278</v>
      </c>
      <c r="C4508" t="s">
        <v>139</v>
      </c>
      <c r="D4508" t="s">
        <v>140</v>
      </c>
      <c r="E4508" t="s">
        <v>141</v>
      </c>
      <c r="F4508" t="s">
        <v>279</v>
      </c>
      <c r="G4508" t="s">
        <v>142</v>
      </c>
      <c r="H4508" t="s">
        <v>124</v>
      </c>
      <c r="I4508" t="s">
        <v>280</v>
      </c>
      <c r="J4508" t="s">
        <v>281</v>
      </c>
    </row>
    <row r="4509" spans="1:10" x14ac:dyDescent="0.35">
      <c r="A4509" t="s">
        <v>50</v>
      </c>
      <c r="B4509" t="s">
        <v>51</v>
      </c>
      <c r="C4509" t="s">
        <v>52</v>
      </c>
      <c r="D4509" t="s">
        <v>136</v>
      </c>
    </row>
    <row r="4510" spans="1:10" x14ac:dyDescent="0.35">
      <c r="A4510" t="s">
        <v>50</v>
      </c>
      <c r="B4510" t="s">
        <v>51</v>
      </c>
      <c r="C4510" t="s">
        <v>52</v>
      </c>
      <c r="D4510" t="s">
        <v>77</v>
      </c>
      <c r="E4510" t="s">
        <v>83</v>
      </c>
      <c r="F4510" t="s">
        <v>84</v>
      </c>
    </row>
    <row r="4511" spans="1:10" x14ac:dyDescent="0.35">
      <c r="A4511" t="s">
        <v>50</v>
      </c>
      <c r="B4511" t="s">
        <v>51</v>
      </c>
      <c r="C4511" t="s">
        <v>52</v>
      </c>
    </row>
    <row r="4512" spans="1:10" x14ac:dyDescent="0.35">
      <c r="A4512" t="s">
        <v>64</v>
      </c>
      <c r="B4512" t="s">
        <v>18</v>
      </c>
    </row>
    <row r="4513" spans="1:7" x14ac:dyDescent="0.35">
      <c r="A4513" t="s">
        <v>126</v>
      </c>
      <c r="B4513" t="s">
        <v>127</v>
      </c>
    </row>
    <row r="4514" spans="1:7" x14ac:dyDescent="0.35">
      <c r="A4514" t="s">
        <v>50</v>
      </c>
      <c r="B4514" t="s">
        <v>51</v>
      </c>
      <c r="C4514" t="s">
        <v>52</v>
      </c>
    </row>
    <row r="4515" spans="1:7" x14ac:dyDescent="0.35">
      <c r="A4515" t="s">
        <v>56</v>
      </c>
      <c r="B4515" t="s">
        <v>57</v>
      </c>
      <c r="C4515" t="s">
        <v>99</v>
      </c>
    </row>
    <row r="4516" spans="1:7" x14ac:dyDescent="0.35">
      <c r="A4516" t="s">
        <v>50</v>
      </c>
      <c r="B4516" t="s">
        <v>51</v>
      </c>
      <c r="C4516" t="s">
        <v>52</v>
      </c>
      <c r="D4516" t="s">
        <v>98</v>
      </c>
    </row>
    <row r="4517" spans="1:7" x14ac:dyDescent="0.35">
      <c r="A4517" t="s">
        <v>138</v>
      </c>
      <c r="B4517" t="s">
        <v>278</v>
      </c>
      <c r="C4517" t="s">
        <v>139</v>
      </c>
      <c r="D4517" t="s">
        <v>140</v>
      </c>
      <c r="E4517" t="s">
        <v>141</v>
      </c>
      <c r="F4517" t="s">
        <v>142</v>
      </c>
      <c r="G4517" t="s">
        <v>124</v>
      </c>
    </row>
    <row r="4518" spans="1:7" x14ac:dyDescent="0.35">
      <c r="A4518" t="s">
        <v>1</v>
      </c>
    </row>
    <row r="4519" spans="1:7" x14ac:dyDescent="0.35">
      <c r="A4519" t="s">
        <v>1</v>
      </c>
      <c r="B4519" t="s">
        <v>87</v>
      </c>
      <c r="C4519" t="s">
        <v>192</v>
      </c>
    </row>
    <row r="4520" spans="1:7" x14ac:dyDescent="0.35">
      <c r="A4520" t="s">
        <v>12</v>
      </c>
    </row>
    <row r="4521" spans="1:7" x14ac:dyDescent="0.35">
      <c r="A4521" t="s">
        <v>165</v>
      </c>
      <c r="B4521" t="s">
        <v>1</v>
      </c>
    </row>
    <row r="4522" spans="1:7" x14ac:dyDescent="0.35">
      <c r="A4522" t="s">
        <v>12</v>
      </c>
    </row>
    <row r="4523" spans="1:7" x14ac:dyDescent="0.35">
      <c r="A4523" t="s">
        <v>9</v>
      </c>
      <c r="B4523" t="s">
        <v>282</v>
      </c>
    </row>
    <row r="4524" spans="1:7" x14ac:dyDescent="0.35">
      <c r="A4524" t="s">
        <v>18</v>
      </c>
    </row>
    <row r="4525" spans="1:7" x14ac:dyDescent="0.35">
      <c r="A4525" t="s">
        <v>64</v>
      </c>
      <c r="B4525" t="s">
        <v>66</v>
      </c>
      <c r="C4525" t="s">
        <v>18</v>
      </c>
      <c r="D4525" t="s">
        <v>67</v>
      </c>
      <c r="E4525" t="s">
        <v>68</v>
      </c>
    </row>
    <row r="4526" spans="1:7" x14ac:dyDescent="0.35">
      <c r="A4526" t="s">
        <v>10</v>
      </c>
    </row>
    <row r="4527" spans="1:7" x14ac:dyDescent="0.35">
      <c r="A4527" t="s">
        <v>93</v>
      </c>
      <c r="B4527" t="s">
        <v>50</v>
      </c>
      <c r="C4527" t="s">
        <v>51</v>
      </c>
      <c r="D4527" t="s">
        <v>52</v>
      </c>
      <c r="E4527" t="s">
        <v>94</v>
      </c>
      <c r="F4527" t="s">
        <v>77</v>
      </c>
      <c r="G4527" t="s">
        <v>95</v>
      </c>
    </row>
    <row r="4528" spans="1:7" x14ac:dyDescent="0.35">
      <c r="A4528" t="s">
        <v>8</v>
      </c>
    </row>
    <row r="4529" spans="1:8" x14ac:dyDescent="0.35">
      <c r="A4529" t="s">
        <v>115</v>
      </c>
      <c r="B4529" t="s">
        <v>11</v>
      </c>
    </row>
    <row r="4530" spans="1:8" x14ac:dyDescent="0.35">
      <c r="A4530" t="s">
        <v>18</v>
      </c>
      <c r="B4530" t="s">
        <v>245</v>
      </c>
    </row>
    <row r="4531" spans="1:8" x14ac:dyDescent="0.35">
      <c r="A4531" t="s">
        <v>139</v>
      </c>
      <c r="B4531" t="s">
        <v>140</v>
      </c>
      <c r="C4531" t="s">
        <v>141</v>
      </c>
      <c r="D4531" t="s">
        <v>142</v>
      </c>
      <c r="E4531" t="s">
        <v>124</v>
      </c>
    </row>
    <row r="4532" spans="1:8" x14ac:dyDescent="0.35">
      <c r="A4532" t="s">
        <v>18</v>
      </c>
      <c r="B4532" t="s">
        <v>130</v>
      </c>
    </row>
    <row r="4533" spans="1:8" x14ac:dyDescent="0.35">
      <c r="A4533" t="s">
        <v>11</v>
      </c>
    </row>
    <row r="4534" spans="1:8" x14ac:dyDescent="0.35">
      <c r="A4534" t="s">
        <v>56</v>
      </c>
      <c r="B4534" t="s">
        <v>57</v>
      </c>
      <c r="C4534" t="s">
        <v>58</v>
      </c>
    </row>
    <row r="4535" spans="1:8" x14ac:dyDescent="0.35">
      <c r="A4535" t="s">
        <v>64</v>
      </c>
      <c r="B4535" t="s">
        <v>65</v>
      </c>
      <c r="C4535" t="s">
        <v>66</v>
      </c>
      <c r="D4535" t="s">
        <v>18</v>
      </c>
      <c r="E4535" t="s">
        <v>67</v>
      </c>
      <c r="F4535" t="s">
        <v>68</v>
      </c>
    </row>
    <row r="4536" spans="1:8" x14ac:dyDescent="0.35">
      <c r="A4536" t="s">
        <v>2</v>
      </c>
    </row>
    <row r="4537" spans="1:8" x14ac:dyDescent="0.35">
      <c r="A4537" t="s">
        <v>1</v>
      </c>
    </row>
    <row r="4538" spans="1:8" x14ac:dyDescent="0.35">
      <c r="A4538" t="s">
        <v>3</v>
      </c>
    </row>
    <row r="4539" spans="1:8" x14ac:dyDescent="0.35">
      <c r="A4539" t="s">
        <v>7</v>
      </c>
    </row>
    <row r="4540" spans="1:8" x14ac:dyDescent="0.35">
      <c r="A4540" t="s">
        <v>50</v>
      </c>
      <c r="B4540" t="s">
        <v>51</v>
      </c>
      <c r="C4540" t="s">
        <v>52</v>
      </c>
    </row>
    <row r="4541" spans="1:8" x14ac:dyDescent="0.35">
      <c r="A4541" t="s">
        <v>93</v>
      </c>
      <c r="B4541" t="s">
        <v>50</v>
      </c>
      <c r="C4541" t="s">
        <v>51</v>
      </c>
      <c r="D4541" t="s">
        <v>52</v>
      </c>
      <c r="E4541" t="s">
        <v>94</v>
      </c>
      <c r="F4541" t="s">
        <v>77</v>
      </c>
      <c r="G4541" t="s">
        <v>95</v>
      </c>
    </row>
    <row r="4542" spans="1:8" x14ac:dyDescent="0.35">
      <c r="A4542" t="s">
        <v>17</v>
      </c>
    </row>
    <row r="4543" spans="1:8" x14ac:dyDescent="0.35">
      <c r="A4543" t="s">
        <v>12</v>
      </c>
    </row>
    <row r="4544" spans="1:8" x14ac:dyDescent="0.35">
      <c r="A4544" t="s">
        <v>138</v>
      </c>
      <c r="B4544" t="s">
        <v>139</v>
      </c>
      <c r="C4544" t="s">
        <v>140</v>
      </c>
      <c r="D4544" t="s">
        <v>141</v>
      </c>
      <c r="E4544" t="s">
        <v>142</v>
      </c>
      <c r="F4544" t="s">
        <v>124</v>
      </c>
      <c r="G4544" t="s">
        <v>143</v>
      </c>
      <c r="H4544" t="s">
        <v>145</v>
      </c>
    </row>
    <row r="4545" spans="1:5" x14ac:dyDescent="0.35">
      <c r="A4545" t="s">
        <v>96</v>
      </c>
      <c r="B4545" t="s">
        <v>18</v>
      </c>
    </row>
    <row r="4546" spans="1:5" x14ac:dyDescent="0.35">
      <c r="A4546" t="s">
        <v>7</v>
      </c>
    </row>
    <row r="4547" spans="1:5" x14ac:dyDescent="0.35">
      <c r="A4547" t="s">
        <v>3</v>
      </c>
      <c r="B4547" t="s">
        <v>117</v>
      </c>
    </row>
    <row r="4548" spans="1:5" x14ac:dyDescent="0.35">
      <c r="A4548" t="s">
        <v>1</v>
      </c>
      <c r="B4548" t="s">
        <v>87</v>
      </c>
      <c r="C4548" t="s">
        <v>204</v>
      </c>
    </row>
    <row r="4549" spans="1:5" x14ac:dyDescent="0.35">
      <c r="A4549" t="s">
        <v>1</v>
      </c>
    </row>
    <row r="4550" spans="1:5" x14ac:dyDescent="0.35">
      <c r="A4550" t="s">
        <v>41</v>
      </c>
      <c r="B4550" t="s">
        <v>218</v>
      </c>
      <c r="C4550" t="s">
        <v>167</v>
      </c>
    </row>
    <row r="4551" spans="1:5" x14ac:dyDescent="0.35">
      <c r="A4551" t="s">
        <v>139</v>
      </c>
      <c r="B4551" t="s">
        <v>140</v>
      </c>
      <c r="C4551" t="s">
        <v>141</v>
      </c>
      <c r="D4551" t="s">
        <v>142</v>
      </c>
      <c r="E4551" t="s">
        <v>124</v>
      </c>
    </row>
    <row r="4552" spans="1:5" x14ac:dyDescent="0.35">
      <c r="A4552" t="s">
        <v>155</v>
      </c>
      <c r="B4552" t="s">
        <v>156</v>
      </c>
      <c r="C4552" t="s">
        <v>157</v>
      </c>
    </row>
    <row r="4553" spans="1:5" x14ac:dyDescent="0.35">
      <c r="A4553" t="s">
        <v>12</v>
      </c>
    </row>
    <row r="4554" spans="1:5" x14ac:dyDescent="0.35">
      <c r="A4554" t="s">
        <v>109</v>
      </c>
      <c r="B4554" t="s">
        <v>110</v>
      </c>
      <c r="C4554" t="s">
        <v>111</v>
      </c>
    </row>
    <row r="4555" spans="1:5" x14ac:dyDescent="0.35">
      <c r="A4555" t="s">
        <v>10</v>
      </c>
    </row>
    <row r="4556" spans="1:5" x14ac:dyDescent="0.35">
      <c r="A4556" t="s">
        <v>11</v>
      </c>
      <c r="B4556" t="s">
        <v>107</v>
      </c>
    </row>
    <row r="4557" spans="1:5" x14ac:dyDescent="0.35">
      <c r="A4557" t="s">
        <v>17</v>
      </c>
    </row>
    <row r="4558" spans="1:5" x14ac:dyDescent="0.35">
      <c r="A4558" t="s">
        <v>12</v>
      </c>
    </row>
    <row r="4559" spans="1:5" x14ac:dyDescent="0.35">
      <c r="A4559" t="s">
        <v>19</v>
      </c>
    </row>
    <row r="4560" spans="1:5" x14ac:dyDescent="0.35">
      <c r="A4560" t="s">
        <v>50</v>
      </c>
      <c r="B4560" t="s">
        <v>51</v>
      </c>
      <c r="C4560" t="s">
        <v>52</v>
      </c>
      <c r="D4560" t="s">
        <v>63</v>
      </c>
    </row>
    <row r="4561" spans="1:9" x14ac:dyDescent="0.35">
      <c r="A4561" t="s">
        <v>96</v>
      </c>
      <c r="B4561" t="s">
        <v>18</v>
      </c>
    </row>
    <row r="4562" spans="1:9" x14ac:dyDescent="0.35">
      <c r="A4562" t="s">
        <v>64</v>
      </c>
      <c r="B4562" t="s">
        <v>66</v>
      </c>
      <c r="C4562" t="s">
        <v>18</v>
      </c>
      <c r="D4562" t="s">
        <v>67</v>
      </c>
      <c r="E4562" t="s">
        <v>68</v>
      </c>
    </row>
    <row r="4563" spans="1:9" x14ac:dyDescent="0.35">
      <c r="A4563" t="s">
        <v>148</v>
      </c>
      <c r="B4563" t="s">
        <v>18</v>
      </c>
    </row>
    <row r="4564" spans="1:9" x14ac:dyDescent="0.35">
      <c r="A4564" t="s">
        <v>18</v>
      </c>
      <c r="B4564" t="s">
        <v>130</v>
      </c>
    </row>
    <row r="4565" spans="1:9" x14ac:dyDescent="0.35">
      <c r="A4565" t="s">
        <v>18</v>
      </c>
      <c r="B4565" t="s">
        <v>130</v>
      </c>
    </row>
    <row r="4566" spans="1:9" x14ac:dyDescent="0.35">
      <c r="A4566" t="s">
        <v>1</v>
      </c>
      <c r="B4566" t="s">
        <v>87</v>
      </c>
      <c r="C4566" t="s">
        <v>131</v>
      </c>
    </row>
    <row r="4567" spans="1:9" x14ac:dyDescent="0.35">
      <c r="A4567" t="s">
        <v>96</v>
      </c>
      <c r="B4567" t="s">
        <v>66</v>
      </c>
      <c r="C4567" t="s">
        <v>18</v>
      </c>
      <c r="D4567" t="s">
        <v>67</v>
      </c>
      <c r="E4567" t="s">
        <v>68</v>
      </c>
    </row>
    <row r="4568" spans="1:9" x14ac:dyDescent="0.35">
      <c r="A4568" t="s">
        <v>64</v>
      </c>
      <c r="B4568" t="s">
        <v>66</v>
      </c>
      <c r="C4568" t="s">
        <v>18</v>
      </c>
      <c r="D4568" t="s">
        <v>67</v>
      </c>
      <c r="E4568" t="s">
        <v>68</v>
      </c>
    </row>
    <row r="4569" spans="1:9" x14ac:dyDescent="0.35">
      <c r="A4569" t="s">
        <v>12</v>
      </c>
    </row>
    <row r="4570" spans="1:9" x14ac:dyDescent="0.35">
      <c r="A4570" t="s">
        <v>16</v>
      </c>
      <c r="B4570" t="s">
        <v>8</v>
      </c>
    </row>
    <row r="4571" spans="1:9" x14ac:dyDescent="0.35">
      <c r="A4571" t="s">
        <v>17</v>
      </c>
    </row>
    <row r="4572" spans="1:9" x14ac:dyDescent="0.35">
      <c r="A4572" t="s">
        <v>15</v>
      </c>
    </row>
    <row r="4573" spans="1:9" x14ac:dyDescent="0.35">
      <c r="A4573" t="s">
        <v>1</v>
      </c>
    </row>
    <row r="4574" spans="1:9" x14ac:dyDescent="0.35">
      <c r="A4574" t="s">
        <v>138</v>
      </c>
      <c r="B4574" t="s">
        <v>139</v>
      </c>
      <c r="C4574" t="s">
        <v>140</v>
      </c>
      <c r="D4574" t="s">
        <v>141</v>
      </c>
      <c r="E4574" t="s">
        <v>142</v>
      </c>
      <c r="F4574" t="s">
        <v>124</v>
      </c>
      <c r="G4574" t="s">
        <v>143</v>
      </c>
      <c r="H4574" t="s">
        <v>275</v>
      </c>
      <c r="I4574" t="s">
        <v>145</v>
      </c>
    </row>
    <row r="4575" spans="1:9" x14ac:dyDescent="0.35">
      <c r="A4575" t="s">
        <v>3</v>
      </c>
      <c r="B4575" t="s">
        <v>117</v>
      </c>
    </row>
    <row r="4576" spans="1:9" x14ac:dyDescent="0.35">
      <c r="A4576" t="s">
        <v>48</v>
      </c>
      <c r="B4576" t="s">
        <v>244</v>
      </c>
    </row>
    <row r="4577" spans="1:6" x14ac:dyDescent="0.35">
      <c r="A4577" t="s">
        <v>18</v>
      </c>
    </row>
    <row r="4578" spans="1:6" x14ac:dyDescent="0.35">
      <c r="A4578" t="s">
        <v>18</v>
      </c>
      <c r="B4578" t="s">
        <v>130</v>
      </c>
    </row>
    <row r="4579" spans="1:6" x14ac:dyDescent="0.35">
      <c r="A4579" t="s">
        <v>64</v>
      </c>
      <c r="B4579" t="s">
        <v>65</v>
      </c>
      <c r="C4579" t="s">
        <v>66</v>
      </c>
      <c r="D4579" t="s">
        <v>18</v>
      </c>
      <c r="E4579" t="s">
        <v>67</v>
      </c>
      <c r="F4579" t="s">
        <v>68</v>
      </c>
    </row>
    <row r="4580" spans="1:6" x14ac:dyDescent="0.35">
      <c r="A4580" t="s">
        <v>12</v>
      </c>
    </row>
    <row r="4581" spans="1:6" x14ac:dyDescent="0.35">
      <c r="A4581" t="s">
        <v>121</v>
      </c>
      <c r="B4581" t="s">
        <v>242</v>
      </c>
      <c r="C4581" t="s">
        <v>18</v>
      </c>
    </row>
    <row r="4582" spans="1:6" x14ac:dyDescent="0.35">
      <c r="A4582" t="s">
        <v>18</v>
      </c>
      <c r="B4582" t="s">
        <v>130</v>
      </c>
    </row>
    <row r="4583" spans="1:6" x14ac:dyDescent="0.35">
      <c r="A4583" t="s">
        <v>7</v>
      </c>
    </row>
    <row r="4584" spans="1:6" x14ac:dyDescent="0.35">
      <c r="A4584" t="s">
        <v>174</v>
      </c>
      <c r="B4584" t="s">
        <v>151</v>
      </c>
      <c r="C4584" t="s">
        <v>152</v>
      </c>
      <c r="D4584" t="s">
        <v>153</v>
      </c>
    </row>
    <row r="4585" spans="1:6" x14ac:dyDescent="0.35">
      <c r="A4585" t="s">
        <v>18</v>
      </c>
      <c r="B4585" t="s">
        <v>248</v>
      </c>
      <c r="C4585" t="s">
        <v>249</v>
      </c>
    </row>
    <row r="4586" spans="1:6" x14ac:dyDescent="0.35">
      <c r="A4586" t="s">
        <v>64</v>
      </c>
      <c r="B4586" t="s">
        <v>18</v>
      </c>
    </row>
    <row r="4587" spans="1:6" x14ac:dyDescent="0.35">
      <c r="A4587" t="s">
        <v>50</v>
      </c>
      <c r="B4587" t="s">
        <v>51</v>
      </c>
      <c r="C4587" t="s">
        <v>52</v>
      </c>
      <c r="D4587" t="s">
        <v>72</v>
      </c>
      <c r="E4587" t="s">
        <v>73</v>
      </c>
    </row>
    <row r="4588" spans="1:6" x14ac:dyDescent="0.35">
      <c r="A4588" t="s">
        <v>283</v>
      </c>
      <c r="B4588" t="s">
        <v>284</v>
      </c>
      <c r="C4588" t="s">
        <v>285</v>
      </c>
    </row>
    <row r="4589" spans="1:6" x14ac:dyDescent="0.35">
      <c r="A4589" t="s">
        <v>148</v>
      </c>
      <c r="B4589" t="s">
        <v>18</v>
      </c>
    </row>
    <row r="4590" spans="1:6" x14ac:dyDescent="0.35">
      <c r="A4590" t="s">
        <v>167</v>
      </c>
      <c r="B4590" t="s">
        <v>168</v>
      </c>
      <c r="C4590" t="s">
        <v>169</v>
      </c>
    </row>
    <row r="4591" spans="1:6" x14ac:dyDescent="0.35">
      <c r="A4591" t="s">
        <v>64</v>
      </c>
      <c r="B4591" t="s">
        <v>65</v>
      </c>
      <c r="C4591" t="s">
        <v>66</v>
      </c>
      <c r="D4591" t="s">
        <v>18</v>
      </c>
      <c r="E4591" t="s">
        <v>67</v>
      </c>
      <c r="F4591" t="s">
        <v>68</v>
      </c>
    </row>
    <row r="4592" spans="1:6" x14ac:dyDescent="0.35">
      <c r="A4592" t="s">
        <v>8</v>
      </c>
    </row>
    <row r="4593" spans="1:6" x14ac:dyDescent="0.35">
      <c r="A4593" t="s">
        <v>64</v>
      </c>
      <c r="B4593" t="s">
        <v>65</v>
      </c>
      <c r="C4593" t="s">
        <v>66</v>
      </c>
      <c r="D4593" t="s">
        <v>18</v>
      </c>
      <c r="E4593" t="s">
        <v>67</v>
      </c>
      <c r="F4593" t="s">
        <v>68</v>
      </c>
    </row>
    <row r="4594" spans="1:6" x14ac:dyDescent="0.35">
      <c r="A4594" t="s">
        <v>108</v>
      </c>
      <c r="B4594" t="s">
        <v>11</v>
      </c>
    </row>
    <row r="4595" spans="1:6" x14ac:dyDescent="0.35">
      <c r="A4595" t="s">
        <v>1</v>
      </c>
    </row>
    <row r="4596" spans="1:6" x14ac:dyDescent="0.35">
      <c r="A4596" t="s">
        <v>50</v>
      </c>
      <c r="B4596" t="s">
        <v>51</v>
      </c>
      <c r="C4596" t="s">
        <v>52</v>
      </c>
    </row>
    <row r="4597" spans="1:6" x14ac:dyDescent="0.35">
      <c r="A4597" t="s">
        <v>81</v>
      </c>
      <c r="B4597" t="s">
        <v>11</v>
      </c>
    </row>
    <row r="4598" spans="1:6" x14ac:dyDescent="0.35">
      <c r="A4598" t="s">
        <v>9</v>
      </c>
    </row>
    <row r="4599" spans="1:6" x14ac:dyDescent="0.35">
      <c r="A4599" t="s">
        <v>24</v>
      </c>
    </row>
    <row r="4600" spans="1:6" x14ac:dyDescent="0.35">
      <c r="A4600" t="s">
        <v>100</v>
      </c>
      <c r="B4600" t="s">
        <v>101</v>
      </c>
      <c r="C4600" t="s">
        <v>102</v>
      </c>
    </row>
    <row r="4601" spans="1:6" x14ac:dyDescent="0.35">
      <c r="A4601" t="s">
        <v>66</v>
      </c>
      <c r="B4601" t="s">
        <v>67</v>
      </c>
      <c r="C4601" t="s">
        <v>68</v>
      </c>
    </row>
    <row r="4602" spans="1:6" x14ac:dyDescent="0.35">
      <c r="A4602" t="s">
        <v>7</v>
      </c>
    </row>
    <row r="4603" spans="1:6" x14ac:dyDescent="0.35">
      <c r="A4603" t="s">
        <v>252</v>
      </c>
      <c r="B4603" t="s">
        <v>18</v>
      </c>
    </row>
    <row r="4604" spans="1:6" x14ac:dyDescent="0.35">
      <c r="A4604" t="s">
        <v>50</v>
      </c>
      <c r="B4604" t="s">
        <v>51</v>
      </c>
      <c r="C4604" t="s">
        <v>52</v>
      </c>
    </row>
    <row r="4605" spans="1:6" x14ac:dyDescent="0.35">
      <c r="A4605" t="s">
        <v>20</v>
      </c>
    </row>
    <row r="4606" spans="1:6" x14ac:dyDescent="0.35">
      <c r="A4606" t="s">
        <v>50</v>
      </c>
      <c r="B4606" t="s">
        <v>51</v>
      </c>
      <c r="C4606" t="s">
        <v>52</v>
      </c>
      <c r="D4606" t="s">
        <v>63</v>
      </c>
    </row>
    <row r="4607" spans="1:6" x14ac:dyDescent="0.35">
      <c r="A4607" t="s">
        <v>50</v>
      </c>
      <c r="B4607" t="s">
        <v>51</v>
      </c>
      <c r="C4607" t="s">
        <v>52</v>
      </c>
      <c r="D4607" t="s">
        <v>63</v>
      </c>
    </row>
    <row r="4608" spans="1:6" x14ac:dyDescent="0.35">
      <c r="A4608" t="s">
        <v>96</v>
      </c>
      <c r="B4608" t="s">
        <v>18</v>
      </c>
    </row>
    <row r="4609" spans="1:8" x14ac:dyDescent="0.35">
      <c r="A4609" t="s">
        <v>1</v>
      </c>
      <c r="B4609" t="s">
        <v>87</v>
      </c>
      <c r="C4609" t="s">
        <v>286</v>
      </c>
    </row>
    <row r="4610" spans="1:8" x14ac:dyDescent="0.35">
      <c r="A4610" t="s">
        <v>40</v>
      </c>
    </row>
    <row r="4611" spans="1:8" x14ac:dyDescent="0.35">
      <c r="A4611" t="s">
        <v>10</v>
      </c>
    </row>
    <row r="4612" spans="1:8" x14ac:dyDescent="0.35">
      <c r="A4612" t="s">
        <v>9</v>
      </c>
    </row>
    <row r="4613" spans="1:8" x14ac:dyDescent="0.35">
      <c r="A4613" t="s">
        <v>18</v>
      </c>
      <c r="B4613" t="s">
        <v>160</v>
      </c>
    </row>
    <row r="4614" spans="1:8" x14ac:dyDescent="0.35">
      <c r="A4614" t="s">
        <v>7</v>
      </c>
    </row>
    <row r="4615" spans="1:8" x14ac:dyDescent="0.35">
      <c r="A4615" t="s">
        <v>22</v>
      </c>
    </row>
    <row r="4616" spans="1:8" x14ac:dyDescent="0.35">
      <c r="A4616" t="s">
        <v>15</v>
      </c>
    </row>
    <row r="4617" spans="1:8" x14ac:dyDescent="0.35">
      <c r="A4617" t="s">
        <v>7</v>
      </c>
    </row>
    <row r="4618" spans="1:8" x14ac:dyDescent="0.35">
      <c r="A4618" t="s">
        <v>138</v>
      </c>
      <c r="B4618" t="s">
        <v>287</v>
      </c>
      <c r="C4618" t="s">
        <v>139</v>
      </c>
      <c r="D4618" t="s">
        <v>288</v>
      </c>
      <c r="E4618" t="s">
        <v>140</v>
      </c>
      <c r="F4618" t="s">
        <v>141</v>
      </c>
      <c r="G4618" t="s">
        <v>142</v>
      </c>
      <c r="H4618" t="s">
        <v>124</v>
      </c>
    </row>
    <row r="4619" spans="1:8" x14ac:dyDescent="0.35">
      <c r="A4619" t="s">
        <v>100</v>
      </c>
      <c r="B4619" t="s">
        <v>289</v>
      </c>
      <c r="C4619" t="s">
        <v>102</v>
      </c>
    </row>
    <row r="4620" spans="1:8" x14ac:dyDescent="0.35">
      <c r="A4620" t="s">
        <v>8</v>
      </c>
    </row>
    <row r="4621" spans="1:8" x14ac:dyDescent="0.35">
      <c r="A4621" t="s">
        <v>18</v>
      </c>
      <c r="B4621" t="s">
        <v>130</v>
      </c>
    </row>
    <row r="4622" spans="1:8" x14ac:dyDescent="0.35">
      <c r="A4622" t="s">
        <v>7</v>
      </c>
    </row>
    <row r="4623" spans="1:8" x14ac:dyDescent="0.35">
      <c r="A4623" t="s">
        <v>1</v>
      </c>
    </row>
    <row r="4624" spans="1:8" x14ac:dyDescent="0.35">
      <c r="A4624" t="s">
        <v>174</v>
      </c>
      <c r="B4624" t="s">
        <v>151</v>
      </c>
      <c r="C4624" t="s">
        <v>152</v>
      </c>
      <c r="D4624" t="s">
        <v>153</v>
      </c>
    </row>
    <row r="4625" spans="1:6" x14ac:dyDescent="0.35">
      <c r="A4625" t="s">
        <v>50</v>
      </c>
      <c r="B4625" t="s">
        <v>51</v>
      </c>
      <c r="C4625" t="s">
        <v>52</v>
      </c>
      <c r="D4625" t="s">
        <v>63</v>
      </c>
    </row>
    <row r="4626" spans="1:6" x14ac:dyDescent="0.35">
      <c r="A4626" t="s">
        <v>64</v>
      </c>
      <c r="B4626" t="s">
        <v>65</v>
      </c>
      <c r="C4626" t="s">
        <v>66</v>
      </c>
      <c r="D4626" t="s">
        <v>18</v>
      </c>
      <c r="E4626" t="s">
        <v>67</v>
      </c>
      <c r="F4626" t="s">
        <v>68</v>
      </c>
    </row>
    <row r="4627" spans="1:6" x14ac:dyDescent="0.35">
      <c r="A4627" t="s">
        <v>12</v>
      </c>
    </row>
    <row r="4628" spans="1:6" x14ac:dyDescent="0.35">
      <c r="A4628" t="s">
        <v>17</v>
      </c>
    </row>
    <row r="4629" spans="1:6" x14ac:dyDescent="0.35">
      <c r="A4629" t="s">
        <v>105</v>
      </c>
      <c r="B4629" t="s">
        <v>137</v>
      </c>
      <c r="C4629" t="s">
        <v>11</v>
      </c>
    </row>
    <row r="4630" spans="1:6" x14ac:dyDescent="0.35">
      <c r="A4630" t="s">
        <v>29</v>
      </c>
    </row>
    <row r="4631" spans="1:6" x14ac:dyDescent="0.35">
      <c r="A4631" t="s">
        <v>64</v>
      </c>
      <c r="B4631" t="s">
        <v>65</v>
      </c>
      <c r="C4631" t="s">
        <v>18</v>
      </c>
    </row>
    <row r="4632" spans="1:6" x14ac:dyDescent="0.35">
      <c r="A4632" t="s">
        <v>12</v>
      </c>
    </row>
    <row r="4633" spans="1:6" x14ac:dyDescent="0.35">
      <c r="A4633" t="s">
        <v>1</v>
      </c>
      <c r="B4633" t="s">
        <v>87</v>
      </c>
      <c r="C4633" t="s">
        <v>131</v>
      </c>
    </row>
    <row r="4634" spans="1:6" x14ac:dyDescent="0.35">
      <c r="A4634" t="s">
        <v>7</v>
      </c>
    </row>
    <row r="4635" spans="1:6" x14ac:dyDescent="0.35">
      <c r="A4635" t="s">
        <v>50</v>
      </c>
      <c r="B4635" t="s">
        <v>51</v>
      </c>
      <c r="C4635" t="s">
        <v>52</v>
      </c>
    </row>
    <row r="4636" spans="1:6" x14ac:dyDescent="0.35">
      <c r="A4636" t="s">
        <v>17</v>
      </c>
    </row>
    <row r="4637" spans="1:6" x14ac:dyDescent="0.35">
      <c r="A4637" t="s">
        <v>1</v>
      </c>
      <c r="B4637" t="s">
        <v>87</v>
      </c>
      <c r="C4637" t="s">
        <v>170</v>
      </c>
    </row>
    <row r="4638" spans="1:6" x14ac:dyDescent="0.35">
      <c r="A4638" t="s">
        <v>25</v>
      </c>
    </row>
    <row r="4639" spans="1:6" x14ac:dyDescent="0.35">
      <c r="A4639" t="s">
        <v>64</v>
      </c>
      <c r="B4639" t="s">
        <v>65</v>
      </c>
      <c r="C4639" t="s">
        <v>18</v>
      </c>
    </row>
    <row r="4640" spans="1:6" x14ac:dyDescent="0.35">
      <c r="A4640" t="s">
        <v>18</v>
      </c>
      <c r="B4640" t="s">
        <v>160</v>
      </c>
    </row>
    <row r="4641" spans="1:5" x14ac:dyDescent="0.35">
      <c r="A4641" t="s">
        <v>7</v>
      </c>
    </row>
    <row r="4642" spans="1:5" x14ac:dyDescent="0.35">
      <c r="A4642" t="s">
        <v>1</v>
      </c>
    </row>
    <row r="4643" spans="1:5" x14ac:dyDescent="0.35">
      <c r="A4643" t="s">
        <v>18</v>
      </c>
      <c r="B4643" t="s">
        <v>178</v>
      </c>
    </row>
    <row r="4644" spans="1:5" x14ac:dyDescent="0.35">
      <c r="A4644" t="s">
        <v>50</v>
      </c>
      <c r="B4644" t="s">
        <v>51</v>
      </c>
      <c r="C4644" t="s">
        <v>52</v>
      </c>
      <c r="D4644" t="s">
        <v>60</v>
      </c>
      <c r="E4644" t="s">
        <v>61</v>
      </c>
    </row>
    <row r="4645" spans="1:5" x14ac:dyDescent="0.35">
      <c r="A4645" t="s">
        <v>7</v>
      </c>
    </row>
    <row r="4646" spans="1:5" x14ac:dyDescent="0.35">
      <c r="A4646" t="s">
        <v>9</v>
      </c>
    </row>
    <row r="4647" spans="1:5" x14ac:dyDescent="0.35">
      <c r="A4647" t="s">
        <v>10</v>
      </c>
    </row>
    <row r="4648" spans="1:5" x14ac:dyDescent="0.35">
      <c r="A4648" t="s">
        <v>12</v>
      </c>
    </row>
    <row r="4649" spans="1:5" x14ac:dyDescent="0.35">
      <c r="A4649" t="s">
        <v>18</v>
      </c>
      <c r="B4649" t="s">
        <v>130</v>
      </c>
    </row>
    <row r="4650" spans="1:5" x14ac:dyDescent="0.35">
      <c r="A4650" t="s">
        <v>1</v>
      </c>
      <c r="B4650" t="s">
        <v>87</v>
      </c>
      <c r="C4650" t="s">
        <v>170</v>
      </c>
    </row>
    <row r="4651" spans="1:5" x14ac:dyDescent="0.35">
      <c r="A4651" t="s">
        <v>18</v>
      </c>
      <c r="B4651" t="s">
        <v>130</v>
      </c>
    </row>
    <row r="4652" spans="1:5" x14ac:dyDescent="0.35">
      <c r="A4652" t="s">
        <v>8</v>
      </c>
    </row>
    <row r="4653" spans="1:5" x14ac:dyDescent="0.35">
      <c r="A4653" t="s">
        <v>151</v>
      </c>
      <c r="B4653" t="s">
        <v>152</v>
      </c>
      <c r="C4653" t="s">
        <v>153</v>
      </c>
    </row>
    <row r="4654" spans="1:5" x14ac:dyDescent="0.35">
      <c r="A4654" t="s">
        <v>18</v>
      </c>
    </row>
    <row r="4655" spans="1:5" x14ac:dyDescent="0.35">
      <c r="A4655" t="s">
        <v>7</v>
      </c>
    </row>
    <row r="4656" spans="1:5" x14ac:dyDescent="0.35">
      <c r="A4656" t="s">
        <v>17</v>
      </c>
    </row>
    <row r="4657" spans="1:3" x14ac:dyDescent="0.35">
      <c r="A4657" t="s">
        <v>126</v>
      </c>
      <c r="B4657" t="s">
        <v>127</v>
      </c>
    </row>
    <row r="4658" spans="1:3" x14ac:dyDescent="0.35">
      <c r="A4658" t="s">
        <v>115</v>
      </c>
      <c r="B4658" t="s">
        <v>11</v>
      </c>
    </row>
    <row r="4659" spans="1:3" x14ac:dyDescent="0.35">
      <c r="A4659" t="s">
        <v>5</v>
      </c>
    </row>
    <row r="4660" spans="1:3" x14ac:dyDescent="0.35">
      <c r="A4660" t="s">
        <v>12</v>
      </c>
    </row>
    <row r="4661" spans="1:3" x14ac:dyDescent="0.35">
      <c r="A4661" t="s">
        <v>37</v>
      </c>
    </row>
    <row r="4662" spans="1:3" x14ac:dyDescent="0.35">
      <c r="A4662" t="s">
        <v>151</v>
      </c>
      <c r="B4662" t="s">
        <v>152</v>
      </c>
      <c r="C4662" t="s">
        <v>153</v>
      </c>
    </row>
    <row r="4663" spans="1:3" x14ac:dyDescent="0.35">
      <c r="A4663" t="s">
        <v>126</v>
      </c>
      <c r="B4663" t="s">
        <v>127</v>
      </c>
    </row>
    <row r="4664" spans="1:3" x14ac:dyDescent="0.35">
      <c r="A4664" t="s">
        <v>7</v>
      </c>
    </row>
    <row r="4665" spans="1:3" x14ac:dyDescent="0.35">
      <c r="A4665" t="s">
        <v>46</v>
      </c>
    </row>
    <row r="4666" spans="1:3" x14ac:dyDescent="0.35">
      <c r="A4666" t="s">
        <v>7</v>
      </c>
    </row>
    <row r="4667" spans="1:3" x14ac:dyDescent="0.35">
      <c r="A4667" t="s">
        <v>7</v>
      </c>
    </row>
    <row r="4668" spans="1:3" x14ac:dyDescent="0.35">
      <c r="A4668" t="s">
        <v>81</v>
      </c>
      <c r="B4668" t="s">
        <v>11</v>
      </c>
    </row>
    <row r="4669" spans="1:3" x14ac:dyDescent="0.35">
      <c r="A4669" t="s">
        <v>5</v>
      </c>
    </row>
    <row r="4670" spans="1:3" x14ac:dyDescent="0.35">
      <c r="A4670" t="s">
        <v>8</v>
      </c>
    </row>
    <row r="4671" spans="1:3" x14ac:dyDescent="0.35">
      <c r="A4671" t="s">
        <v>12</v>
      </c>
    </row>
    <row r="4672" spans="1:3" x14ac:dyDescent="0.35">
      <c r="A4672" t="s">
        <v>100</v>
      </c>
      <c r="B4672" t="s">
        <v>101</v>
      </c>
      <c r="C4672" t="s">
        <v>102</v>
      </c>
    </row>
    <row r="4673" spans="1:7" x14ac:dyDescent="0.35">
      <c r="A4673" t="s">
        <v>124</v>
      </c>
      <c r="B4673" t="s">
        <v>125</v>
      </c>
    </row>
    <row r="4674" spans="1:7" x14ac:dyDescent="0.35">
      <c r="A4674" t="s">
        <v>7</v>
      </c>
    </row>
    <row r="4675" spans="1:7" x14ac:dyDescent="0.35">
      <c r="A4675" t="s">
        <v>12</v>
      </c>
    </row>
    <row r="4676" spans="1:7" x14ac:dyDescent="0.35">
      <c r="A4676" t="s">
        <v>45</v>
      </c>
    </row>
    <row r="4677" spans="1:7" x14ac:dyDescent="0.35">
      <c r="A4677" t="s">
        <v>64</v>
      </c>
      <c r="B4677" t="s">
        <v>65</v>
      </c>
      <c r="C4677" t="s">
        <v>66</v>
      </c>
      <c r="D4677" t="s">
        <v>18</v>
      </c>
      <c r="E4677" t="s">
        <v>67</v>
      </c>
      <c r="F4677" t="s">
        <v>68</v>
      </c>
    </row>
    <row r="4678" spans="1:7" x14ac:dyDescent="0.35">
      <c r="A4678" t="s">
        <v>47</v>
      </c>
    </row>
    <row r="4679" spans="1:7" x14ac:dyDescent="0.35">
      <c r="A4679" t="s">
        <v>81</v>
      </c>
      <c r="B4679" t="s">
        <v>11</v>
      </c>
    </row>
    <row r="4680" spans="1:7" x14ac:dyDescent="0.35">
      <c r="A4680" t="s">
        <v>12</v>
      </c>
    </row>
    <row r="4681" spans="1:7" x14ac:dyDescent="0.35">
      <c r="A4681" t="s">
        <v>50</v>
      </c>
      <c r="B4681" t="s">
        <v>51</v>
      </c>
      <c r="C4681" t="s">
        <v>52</v>
      </c>
      <c r="D4681" t="s">
        <v>61</v>
      </c>
    </row>
    <row r="4682" spans="1:7" x14ac:dyDescent="0.35">
      <c r="A4682" t="s">
        <v>30</v>
      </c>
    </row>
    <row r="4683" spans="1:7" x14ac:dyDescent="0.35">
      <c r="A4683" t="s">
        <v>138</v>
      </c>
      <c r="B4683" t="s">
        <v>278</v>
      </c>
      <c r="C4683" t="s">
        <v>139</v>
      </c>
      <c r="D4683" t="s">
        <v>140</v>
      </c>
      <c r="E4683" t="s">
        <v>141</v>
      </c>
      <c r="F4683" t="s">
        <v>142</v>
      </c>
      <c r="G4683" t="s">
        <v>124</v>
      </c>
    </row>
    <row r="4684" spans="1:7" x14ac:dyDescent="0.35">
      <c r="A4684" t="s">
        <v>12</v>
      </c>
    </row>
    <row r="4685" spans="1:7" x14ac:dyDescent="0.35">
      <c r="A4685" t="s">
        <v>50</v>
      </c>
      <c r="B4685" t="s">
        <v>51</v>
      </c>
      <c r="C4685" t="s">
        <v>52</v>
      </c>
      <c r="D4685" t="s">
        <v>60</v>
      </c>
      <c r="E4685" t="s">
        <v>61</v>
      </c>
    </row>
    <row r="4686" spans="1:7" x14ac:dyDescent="0.35">
      <c r="A4686" t="s">
        <v>64</v>
      </c>
      <c r="B4686" t="s">
        <v>66</v>
      </c>
      <c r="C4686" t="s">
        <v>18</v>
      </c>
      <c r="D4686" t="s">
        <v>67</v>
      </c>
      <c r="E4686" t="s">
        <v>68</v>
      </c>
    </row>
    <row r="4687" spans="1:7" x14ac:dyDescent="0.35">
      <c r="A4687" t="s">
        <v>18</v>
      </c>
      <c r="B4687" t="s">
        <v>160</v>
      </c>
    </row>
    <row r="4688" spans="1:7" x14ac:dyDescent="0.35">
      <c r="A4688" t="s">
        <v>50</v>
      </c>
      <c r="B4688" t="s">
        <v>51</v>
      </c>
      <c r="C4688" t="s">
        <v>52</v>
      </c>
      <c r="D4688" t="s">
        <v>72</v>
      </c>
      <c r="E4688" t="s">
        <v>73</v>
      </c>
      <c r="F4688" t="s">
        <v>113</v>
      </c>
    </row>
    <row r="4689" spans="1:7" x14ac:dyDescent="0.35">
      <c r="A4689" t="s">
        <v>18</v>
      </c>
      <c r="B4689" t="s">
        <v>160</v>
      </c>
    </row>
    <row r="4690" spans="1:7" x14ac:dyDescent="0.35">
      <c r="A4690" t="s">
        <v>1</v>
      </c>
    </row>
    <row r="4691" spans="1:7" x14ac:dyDescent="0.35">
      <c r="A4691" t="s">
        <v>1</v>
      </c>
      <c r="B4691" t="s">
        <v>135</v>
      </c>
    </row>
    <row r="4692" spans="1:7" x14ac:dyDescent="0.35">
      <c r="A4692" t="s">
        <v>18</v>
      </c>
    </row>
    <row r="4693" spans="1:7" x14ac:dyDescent="0.35">
      <c r="A4693" t="s">
        <v>7</v>
      </c>
    </row>
    <row r="4694" spans="1:7" x14ac:dyDescent="0.35">
      <c r="A4694" t="s">
        <v>100</v>
      </c>
      <c r="B4694" t="s">
        <v>101</v>
      </c>
      <c r="C4694" t="s">
        <v>102</v>
      </c>
    </row>
    <row r="4695" spans="1:7" x14ac:dyDescent="0.35">
      <c r="A4695" t="s">
        <v>3</v>
      </c>
    </row>
    <row r="4696" spans="1:7" x14ac:dyDescent="0.35">
      <c r="A4696" t="s">
        <v>7</v>
      </c>
    </row>
    <row r="4697" spans="1:7" x14ac:dyDescent="0.35">
      <c r="A4697" t="s">
        <v>96</v>
      </c>
      <c r="B4697" t="s">
        <v>18</v>
      </c>
    </row>
    <row r="4698" spans="1:7" x14ac:dyDescent="0.35">
      <c r="A4698" t="s">
        <v>10</v>
      </c>
    </row>
    <row r="4699" spans="1:7" x14ac:dyDescent="0.35">
      <c r="A4699" t="s">
        <v>10</v>
      </c>
    </row>
    <row r="4700" spans="1:7" x14ac:dyDescent="0.35">
      <c r="A4700" t="s">
        <v>56</v>
      </c>
      <c r="B4700" t="s">
        <v>57</v>
      </c>
    </row>
    <row r="4701" spans="1:7" x14ac:dyDescent="0.35">
      <c r="A4701" t="s">
        <v>50</v>
      </c>
      <c r="B4701" t="s">
        <v>51</v>
      </c>
      <c r="C4701" t="s">
        <v>52</v>
      </c>
    </row>
    <row r="4702" spans="1:7" x14ac:dyDescent="0.35">
      <c r="A4702" t="s">
        <v>138</v>
      </c>
      <c r="B4702" t="s">
        <v>227</v>
      </c>
      <c r="C4702" t="s">
        <v>139</v>
      </c>
      <c r="D4702" t="s">
        <v>140</v>
      </c>
      <c r="E4702" t="s">
        <v>141</v>
      </c>
      <c r="F4702" t="s">
        <v>142</v>
      </c>
      <c r="G4702" t="s">
        <v>124</v>
      </c>
    </row>
    <row r="4703" spans="1:7" x14ac:dyDescent="0.35">
      <c r="A4703" t="s">
        <v>7</v>
      </c>
    </row>
    <row r="4704" spans="1:7" x14ac:dyDescent="0.35">
      <c r="A4704" t="s">
        <v>162</v>
      </c>
      <c r="B4704" t="s">
        <v>124</v>
      </c>
    </row>
    <row r="4705" spans="1:6" x14ac:dyDescent="0.35">
      <c r="A4705" t="s">
        <v>66</v>
      </c>
      <c r="B4705" t="s">
        <v>67</v>
      </c>
      <c r="C4705" t="s">
        <v>68</v>
      </c>
    </row>
    <row r="4706" spans="1:6" x14ac:dyDescent="0.35">
      <c r="A4706" t="s">
        <v>6</v>
      </c>
    </row>
    <row r="4707" spans="1:6" x14ac:dyDescent="0.35">
      <c r="A4707" t="s">
        <v>1</v>
      </c>
    </row>
    <row r="4708" spans="1:6" x14ac:dyDescent="0.35">
      <c r="A4708" t="s">
        <v>159</v>
      </c>
      <c r="B4708" t="s">
        <v>11</v>
      </c>
    </row>
    <row r="4709" spans="1:6" x14ac:dyDescent="0.35">
      <c r="A4709" t="s">
        <v>96</v>
      </c>
      <c r="B4709" t="s">
        <v>176</v>
      </c>
      <c r="C4709" t="s">
        <v>66</v>
      </c>
      <c r="D4709" t="s">
        <v>18</v>
      </c>
      <c r="E4709" t="s">
        <v>67</v>
      </c>
      <c r="F4709" t="s">
        <v>68</v>
      </c>
    </row>
    <row r="4710" spans="1:6" x14ac:dyDescent="0.35">
      <c r="A4710" t="s">
        <v>50</v>
      </c>
      <c r="B4710" t="s">
        <v>51</v>
      </c>
      <c r="C4710" t="s">
        <v>52</v>
      </c>
      <c r="D4710" t="s">
        <v>63</v>
      </c>
    </row>
    <row r="4711" spans="1:6" x14ac:dyDescent="0.35">
      <c r="A4711" t="s">
        <v>50</v>
      </c>
      <c r="B4711" t="s">
        <v>51</v>
      </c>
      <c r="C4711" t="s">
        <v>52</v>
      </c>
      <c r="D4711" t="s">
        <v>74</v>
      </c>
      <c r="E4711" t="s">
        <v>75</v>
      </c>
    </row>
    <row r="4712" spans="1:6" x14ac:dyDescent="0.35">
      <c r="A4712" t="s">
        <v>162</v>
      </c>
      <c r="B4712" t="s">
        <v>124</v>
      </c>
    </row>
    <row r="4713" spans="1:6" x14ac:dyDescent="0.35">
      <c r="A4713" t="s">
        <v>50</v>
      </c>
      <c r="B4713" t="s">
        <v>51</v>
      </c>
      <c r="C4713" t="s">
        <v>52</v>
      </c>
      <c r="D4713" t="s">
        <v>63</v>
      </c>
    </row>
    <row r="4714" spans="1:6" x14ac:dyDescent="0.35">
      <c r="A4714" t="s">
        <v>15</v>
      </c>
    </row>
    <row r="4715" spans="1:6" x14ac:dyDescent="0.35">
      <c r="A4715" t="s">
        <v>148</v>
      </c>
      <c r="B4715" t="s">
        <v>18</v>
      </c>
    </row>
    <row r="4716" spans="1:6" x14ac:dyDescent="0.35">
      <c r="A4716" t="s">
        <v>115</v>
      </c>
      <c r="B4716" t="s">
        <v>11</v>
      </c>
    </row>
    <row r="4717" spans="1:6" x14ac:dyDescent="0.35">
      <c r="A4717" t="s">
        <v>8</v>
      </c>
    </row>
    <row r="4718" spans="1:6" x14ac:dyDescent="0.35">
      <c r="A4718" t="s">
        <v>3</v>
      </c>
      <c r="B4718" t="s">
        <v>117</v>
      </c>
    </row>
    <row r="4719" spans="1:6" x14ac:dyDescent="0.35">
      <c r="A4719" t="s">
        <v>162</v>
      </c>
      <c r="B4719" t="s">
        <v>124</v>
      </c>
    </row>
    <row r="4720" spans="1:6" x14ac:dyDescent="0.35">
      <c r="A4720" t="s">
        <v>3</v>
      </c>
    </row>
    <row r="4721" spans="1:8" x14ac:dyDescent="0.35">
      <c r="A4721" t="s">
        <v>155</v>
      </c>
      <c r="B4721" t="s">
        <v>156</v>
      </c>
      <c r="C4721" t="s">
        <v>157</v>
      </c>
    </row>
    <row r="4722" spans="1:8" x14ac:dyDescent="0.35">
      <c r="A4722" t="s">
        <v>29</v>
      </c>
      <c r="B4722" t="s">
        <v>219</v>
      </c>
      <c r="C4722" t="s">
        <v>207</v>
      </c>
      <c r="D4722" t="s">
        <v>220</v>
      </c>
      <c r="E4722" t="s">
        <v>290</v>
      </c>
      <c r="F4722" t="s">
        <v>167</v>
      </c>
      <c r="G4722" t="s">
        <v>208</v>
      </c>
      <c r="H4722" t="s">
        <v>168</v>
      </c>
    </row>
    <row r="4723" spans="1:8" x14ac:dyDescent="0.35">
      <c r="A4723" t="s">
        <v>37</v>
      </c>
    </row>
    <row r="4724" spans="1:8" x14ac:dyDescent="0.35">
      <c r="A4724" t="s">
        <v>32</v>
      </c>
    </row>
    <row r="4725" spans="1:8" x14ac:dyDescent="0.35">
      <c r="A4725" t="s">
        <v>96</v>
      </c>
      <c r="B4725" t="s">
        <v>18</v>
      </c>
    </row>
    <row r="4726" spans="1:8" x14ac:dyDescent="0.35">
      <c r="A4726" t="s">
        <v>1</v>
      </c>
      <c r="B4726" t="s">
        <v>87</v>
      </c>
      <c r="C4726" t="s">
        <v>204</v>
      </c>
    </row>
    <row r="4727" spans="1:8" x14ac:dyDescent="0.35">
      <c r="A4727" t="s">
        <v>30</v>
      </c>
    </row>
    <row r="4728" spans="1:8" x14ac:dyDescent="0.35">
      <c r="A4728" t="s">
        <v>64</v>
      </c>
      <c r="B4728" t="s">
        <v>65</v>
      </c>
      <c r="C4728" t="s">
        <v>66</v>
      </c>
      <c r="D4728" t="s">
        <v>18</v>
      </c>
      <c r="E4728" t="s">
        <v>129</v>
      </c>
      <c r="F4728" t="s">
        <v>67</v>
      </c>
      <c r="G4728" t="s">
        <v>68</v>
      </c>
    </row>
    <row r="4729" spans="1:8" x14ac:dyDescent="0.35">
      <c r="A4729" t="s">
        <v>1</v>
      </c>
    </row>
    <row r="4730" spans="1:8" x14ac:dyDescent="0.35">
      <c r="A4730" t="s">
        <v>18</v>
      </c>
      <c r="B4730" t="s">
        <v>160</v>
      </c>
    </row>
    <row r="4731" spans="1:8" x14ac:dyDescent="0.35">
      <c r="A4731" t="s">
        <v>165</v>
      </c>
      <c r="B4731" t="s">
        <v>1</v>
      </c>
    </row>
    <row r="4732" spans="1:8" x14ac:dyDescent="0.35">
      <c r="A4732" t="s">
        <v>5</v>
      </c>
    </row>
    <row r="4733" spans="1:8" x14ac:dyDescent="0.35">
      <c r="A4733" t="s">
        <v>1</v>
      </c>
      <c r="B4733" t="s">
        <v>87</v>
      </c>
      <c r="C4733" t="s">
        <v>131</v>
      </c>
    </row>
    <row r="4734" spans="1:8" x14ac:dyDescent="0.35">
      <c r="A4734" t="s">
        <v>64</v>
      </c>
      <c r="B4734" t="s">
        <v>65</v>
      </c>
      <c r="C4734" t="s">
        <v>66</v>
      </c>
      <c r="D4734" t="s">
        <v>18</v>
      </c>
      <c r="E4734" t="s">
        <v>67</v>
      </c>
      <c r="F4734" t="s">
        <v>68</v>
      </c>
    </row>
    <row r="4735" spans="1:8" x14ac:dyDescent="0.35">
      <c r="A4735" t="s">
        <v>165</v>
      </c>
      <c r="B4735" t="s">
        <v>1</v>
      </c>
    </row>
    <row r="4736" spans="1:8" x14ac:dyDescent="0.35">
      <c r="A4736" t="s">
        <v>18</v>
      </c>
    </row>
    <row r="4737" spans="1:7" x14ac:dyDescent="0.35">
      <c r="A4737" t="s">
        <v>195</v>
      </c>
      <c r="B4737" t="s">
        <v>1</v>
      </c>
    </row>
    <row r="4738" spans="1:7" x14ac:dyDescent="0.35">
      <c r="A4738" t="s">
        <v>40</v>
      </c>
    </row>
    <row r="4739" spans="1:7" x14ac:dyDescent="0.35">
      <c r="A4739" t="s">
        <v>1</v>
      </c>
    </row>
    <row r="4740" spans="1:7" x14ac:dyDescent="0.35">
      <c r="A4740" t="s">
        <v>93</v>
      </c>
      <c r="B4740" t="s">
        <v>50</v>
      </c>
      <c r="C4740" t="s">
        <v>51</v>
      </c>
      <c r="D4740" t="s">
        <v>52</v>
      </c>
      <c r="E4740" t="s">
        <v>94</v>
      </c>
      <c r="F4740" t="s">
        <v>77</v>
      </c>
      <c r="G4740" t="s">
        <v>95</v>
      </c>
    </row>
    <row r="4741" spans="1:7" x14ac:dyDescent="0.35">
      <c r="A4741" t="s">
        <v>12</v>
      </c>
    </row>
    <row r="4742" spans="1:7" x14ac:dyDescent="0.35">
      <c r="A4742" t="s">
        <v>50</v>
      </c>
      <c r="B4742" t="s">
        <v>51</v>
      </c>
      <c r="C4742" t="s">
        <v>52</v>
      </c>
    </row>
    <row r="4743" spans="1:7" x14ac:dyDescent="0.35">
      <c r="A4743" t="s">
        <v>138</v>
      </c>
      <c r="B4743" t="s">
        <v>240</v>
      </c>
      <c r="C4743" t="s">
        <v>139</v>
      </c>
      <c r="D4743" t="s">
        <v>140</v>
      </c>
      <c r="E4743" t="s">
        <v>141</v>
      </c>
      <c r="F4743" t="s">
        <v>142</v>
      </c>
      <c r="G4743" t="s">
        <v>124</v>
      </c>
    </row>
    <row r="4744" spans="1:7" x14ac:dyDescent="0.35">
      <c r="A4744" t="s">
        <v>50</v>
      </c>
      <c r="B4744" t="s">
        <v>51</v>
      </c>
      <c r="C4744" t="s">
        <v>52</v>
      </c>
      <c r="D4744" t="s">
        <v>63</v>
      </c>
    </row>
    <row r="4745" spans="1:7" x14ac:dyDescent="0.35">
      <c r="A4745" t="s">
        <v>214</v>
      </c>
      <c r="B4745" t="s">
        <v>215</v>
      </c>
    </row>
    <row r="4746" spans="1:7" x14ac:dyDescent="0.35">
      <c r="A4746" t="s">
        <v>9</v>
      </c>
    </row>
    <row r="4747" spans="1:7" x14ac:dyDescent="0.35">
      <c r="A4747" t="s">
        <v>56</v>
      </c>
      <c r="B4747" t="s">
        <v>57</v>
      </c>
    </row>
    <row r="4748" spans="1:7" x14ac:dyDescent="0.35">
      <c r="A4748" t="s">
        <v>6</v>
      </c>
    </row>
    <row r="4749" spans="1:7" x14ac:dyDescent="0.35">
      <c r="A4749" t="s">
        <v>1</v>
      </c>
    </row>
    <row r="4750" spans="1:7" x14ac:dyDescent="0.35">
      <c r="A4750" t="s">
        <v>195</v>
      </c>
      <c r="B4750" t="s">
        <v>1</v>
      </c>
    </row>
    <row r="4751" spans="1:7" x14ac:dyDescent="0.35">
      <c r="A4751" t="s">
        <v>14</v>
      </c>
    </row>
    <row r="4752" spans="1:7" x14ac:dyDescent="0.35">
      <c r="A4752" t="s">
        <v>1</v>
      </c>
    </row>
    <row r="4753" spans="1:5" x14ac:dyDescent="0.35">
      <c r="A4753" t="s">
        <v>50</v>
      </c>
      <c r="B4753" t="s">
        <v>51</v>
      </c>
      <c r="C4753" t="s">
        <v>52</v>
      </c>
    </row>
    <row r="4754" spans="1:5" x14ac:dyDescent="0.35">
      <c r="A4754" t="s">
        <v>1</v>
      </c>
    </row>
    <row r="4755" spans="1:5" x14ac:dyDescent="0.35">
      <c r="A4755" t="s">
        <v>50</v>
      </c>
      <c r="B4755" t="s">
        <v>51</v>
      </c>
      <c r="C4755" t="s">
        <v>52</v>
      </c>
      <c r="D4755" t="s">
        <v>63</v>
      </c>
    </row>
    <row r="4756" spans="1:5" x14ac:dyDescent="0.35">
      <c r="A4756" t="s">
        <v>18</v>
      </c>
      <c r="B4756" t="s">
        <v>160</v>
      </c>
    </row>
    <row r="4757" spans="1:5" x14ac:dyDescent="0.35">
      <c r="A4757" t="s">
        <v>100</v>
      </c>
      <c r="B4757" t="s">
        <v>101</v>
      </c>
      <c r="C4757" t="s">
        <v>102</v>
      </c>
    </row>
    <row r="4758" spans="1:5" x14ac:dyDescent="0.35">
      <c r="A4758" t="s">
        <v>64</v>
      </c>
      <c r="B4758" t="s">
        <v>66</v>
      </c>
      <c r="C4758" t="s">
        <v>18</v>
      </c>
      <c r="D4758" t="s">
        <v>67</v>
      </c>
      <c r="E4758" t="s">
        <v>68</v>
      </c>
    </row>
    <row r="4759" spans="1:5" x14ac:dyDescent="0.35">
      <c r="A4759" t="s">
        <v>15</v>
      </c>
    </row>
    <row r="4760" spans="1:5" x14ac:dyDescent="0.35">
      <c r="A4760" t="s">
        <v>81</v>
      </c>
      <c r="B4760" t="s">
        <v>11</v>
      </c>
    </row>
    <row r="4761" spans="1:5" x14ac:dyDescent="0.35">
      <c r="A4761" t="s">
        <v>126</v>
      </c>
      <c r="B4761" t="s">
        <v>127</v>
      </c>
    </row>
    <row r="4762" spans="1:5" x14ac:dyDescent="0.35">
      <c r="A4762" t="s">
        <v>1</v>
      </c>
    </row>
    <row r="4763" spans="1:5" x14ac:dyDescent="0.35">
      <c r="A4763" t="s">
        <v>15</v>
      </c>
    </row>
    <row r="4764" spans="1:5" x14ac:dyDescent="0.35">
      <c r="A4764" t="s">
        <v>17</v>
      </c>
    </row>
    <row r="4765" spans="1:5" x14ac:dyDescent="0.35">
      <c r="A4765" t="s">
        <v>123</v>
      </c>
      <c r="B4765" t="s">
        <v>124</v>
      </c>
      <c r="C4765" t="s">
        <v>125</v>
      </c>
    </row>
    <row r="4766" spans="1:5" x14ac:dyDescent="0.35">
      <c r="A4766" t="s">
        <v>9</v>
      </c>
    </row>
    <row r="4767" spans="1:5" x14ac:dyDescent="0.35">
      <c r="A4767" t="s">
        <v>50</v>
      </c>
      <c r="B4767" t="s">
        <v>51</v>
      </c>
      <c r="C4767" t="s">
        <v>52</v>
      </c>
    </row>
    <row r="4768" spans="1:5" x14ac:dyDescent="0.35">
      <c r="A4768" t="s">
        <v>81</v>
      </c>
      <c r="B4768" t="s">
        <v>11</v>
      </c>
    </row>
    <row r="4769" spans="1:3" x14ac:dyDescent="0.35">
      <c r="A4769" t="s">
        <v>1</v>
      </c>
    </row>
    <row r="4770" spans="1:3" x14ac:dyDescent="0.35">
      <c r="A4770" t="s">
        <v>12</v>
      </c>
    </row>
    <row r="4771" spans="1:3" x14ac:dyDescent="0.35">
      <c r="A4771" t="s">
        <v>64</v>
      </c>
      <c r="B4771" t="s">
        <v>18</v>
      </c>
    </row>
    <row r="4772" spans="1:3" x14ac:dyDescent="0.35">
      <c r="A4772" t="s">
        <v>7</v>
      </c>
    </row>
    <row r="4773" spans="1:3" x14ac:dyDescent="0.35">
      <c r="A4773" t="s">
        <v>7</v>
      </c>
    </row>
    <row r="4774" spans="1:3" x14ac:dyDescent="0.35">
      <c r="A4774" t="s">
        <v>40</v>
      </c>
    </row>
    <row r="4775" spans="1:3" x14ac:dyDescent="0.35">
      <c r="A4775" t="s">
        <v>10</v>
      </c>
    </row>
    <row r="4776" spans="1:3" x14ac:dyDescent="0.35">
      <c r="A4776" t="s">
        <v>16</v>
      </c>
      <c r="B4776" t="s">
        <v>8</v>
      </c>
    </row>
    <row r="4777" spans="1:3" x14ac:dyDescent="0.35">
      <c r="A4777" t="s">
        <v>1</v>
      </c>
      <c r="B4777" t="s">
        <v>87</v>
      </c>
      <c r="C4777" t="s">
        <v>128</v>
      </c>
    </row>
    <row r="4778" spans="1:3" x14ac:dyDescent="0.35">
      <c r="A4778" t="s">
        <v>96</v>
      </c>
      <c r="B4778" t="s">
        <v>18</v>
      </c>
    </row>
    <row r="4779" spans="1:3" x14ac:dyDescent="0.35">
      <c r="A4779" t="s">
        <v>12</v>
      </c>
    </row>
    <row r="4780" spans="1:3" x14ac:dyDescent="0.35">
      <c r="A4780" t="s">
        <v>100</v>
      </c>
      <c r="B4780" t="s">
        <v>101</v>
      </c>
      <c r="C4780" t="s">
        <v>102</v>
      </c>
    </row>
    <row r="4781" spans="1:3" x14ac:dyDescent="0.35">
      <c r="A4781" t="s">
        <v>195</v>
      </c>
      <c r="B4781" t="s">
        <v>1</v>
      </c>
    </row>
    <row r="4782" spans="1:3" x14ac:dyDescent="0.35">
      <c r="A4782" t="s">
        <v>33</v>
      </c>
    </row>
    <row r="4783" spans="1:3" x14ac:dyDescent="0.35">
      <c r="A4783" t="s">
        <v>18</v>
      </c>
    </row>
    <row r="4784" spans="1:3" x14ac:dyDescent="0.35">
      <c r="A4784" t="s">
        <v>3</v>
      </c>
    </row>
    <row r="4785" spans="1:9" x14ac:dyDescent="0.35">
      <c r="A4785" t="s">
        <v>121</v>
      </c>
      <c r="B4785" t="s">
        <v>122</v>
      </c>
    </row>
    <row r="4786" spans="1:9" x14ac:dyDescent="0.35">
      <c r="A4786" t="s">
        <v>56</v>
      </c>
      <c r="B4786" t="s">
        <v>57</v>
      </c>
      <c r="C4786" t="s">
        <v>104</v>
      </c>
    </row>
    <row r="4787" spans="1:9" x14ac:dyDescent="0.35">
      <c r="A4787" t="s">
        <v>7</v>
      </c>
    </row>
    <row r="4788" spans="1:9" x14ac:dyDescent="0.35">
      <c r="A4788" t="s">
        <v>138</v>
      </c>
      <c r="B4788" t="s">
        <v>139</v>
      </c>
      <c r="C4788" t="s">
        <v>140</v>
      </c>
      <c r="D4788" t="s">
        <v>141</v>
      </c>
      <c r="E4788" t="s">
        <v>142</v>
      </c>
      <c r="F4788" t="s">
        <v>124</v>
      </c>
      <c r="G4788" t="s">
        <v>143</v>
      </c>
      <c r="H4788" t="s">
        <v>206</v>
      </c>
      <c r="I4788" t="s">
        <v>145</v>
      </c>
    </row>
    <row r="4789" spans="1:9" x14ac:dyDescent="0.35">
      <c r="A4789" t="s">
        <v>93</v>
      </c>
      <c r="B4789" t="s">
        <v>50</v>
      </c>
      <c r="C4789" t="s">
        <v>51</v>
      </c>
      <c r="D4789" t="s">
        <v>52</v>
      </c>
    </row>
    <row r="4790" spans="1:9" x14ac:dyDescent="0.35">
      <c r="A4790" t="s">
        <v>7</v>
      </c>
    </row>
    <row r="4791" spans="1:9" x14ac:dyDescent="0.35">
      <c r="A4791" t="s">
        <v>148</v>
      </c>
      <c r="B4791" t="s">
        <v>18</v>
      </c>
    </row>
    <row r="4792" spans="1:9" x14ac:dyDescent="0.35">
      <c r="A4792" t="s">
        <v>18</v>
      </c>
      <c r="B4792" t="s">
        <v>130</v>
      </c>
    </row>
    <row r="4793" spans="1:9" x14ac:dyDescent="0.35">
      <c r="A4793" t="s">
        <v>7</v>
      </c>
    </row>
    <row r="4794" spans="1:9" x14ac:dyDescent="0.35">
      <c r="A4794" t="s">
        <v>18</v>
      </c>
      <c r="B4794" t="s">
        <v>160</v>
      </c>
    </row>
    <row r="4795" spans="1:9" x14ac:dyDescent="0.35">
      <c r="A4795" t="s">
        <v>18</v>
      </c>
    </row>
    <row r="4796" spans="1:9" x14ac:dyDescent="0.35">
      <c r="A4796" t="s">
        <v>26</v>
      </c>
    </row>
    <row r="4797" spans="1:9" x14ac:dyDescent="0.35">
      <c r="A4797" t="s">
        <v>96</v>
      </c>
      <c r="B4797" t="s">
        <v>18</v>
      </c>
    </row>
    <row r="4798" spans="1:9" x14ac:dyDescent="0.35">
      <c r="A4798" t="s">
        <v>17</v>
      </c>
    </row>
    <row r="4799" spans="1:9" x14ac:dyDescent="0.35">
      <c r="A4799" t="s">
        <v>18</v>
      </c>
      <c r="B4799" t="s">
        <v>130</v>
      </c>
    </row>
    <row r="4800" spans="1:9" x14ac:dyDescent="0.35">
      <c r="A4800" t="s">
        <v>148</v>
      </c>
      <c r="B4800" t="s">
        <v>18</v>
      </c>
    </row>
    <row r="4801" spans="1:6" x14ac:dyDescent="0.35">
      <c r="A4801" t="s">
        <v>1</v>
      </c>
    </row>
    <row r="4802" spans="1:6" x14ac:dyDescent="0.35">
      <c r="A4802" t="s">
        <v>7</v>
      </c>
    </row>
    <row r="4803" spans="1:6" x14ac:dyDescent="0.35">
      <c r="A4803" t="s">
        <v>1</v>
      </c>
    </row>
    <row r="4804" spans="1:6" x14ac:dyDescent="0.35">
      <c r="A4804" t="s">
        <v>48</v>
      </c>
    </row>
    <row r="4805" spans="1:6" x14ac:dyDescent="0.35">
      <c r="A4805" t="s">
        <v>18</v>
      </c>
      <c r="B4805" t="s">
        <v>249</v>
      </c>
    </row>
    <row r="4806" spans="1:6" x14ac:dyDescent="0.35">
      <c r="A4806" t="s">
        <v>10</v>
      </c>
    </row>
    <row r="4807" spans="1:6" x14ac:dyDescent="0.35">
      <c r="A4807" t="s">
        <v>195</v>
      </c>
      <c r="B4807" t="s">
        <v>1</v>
      </c>
    </row>
    <row r="4808" spans="1:6" x14ac:dyDescent="0.35">
      <c r="A4808" t="s">
        <v>96</v>
      </c>
      <c r="B4808" t="s">
        <v>176</v>
      </c>
      <c r="C4808" t="s">
        <v>66</v>
      </c>
      <c r="D4808" t="s">
        <v>18</v>
      </c>
      <c r="E4808" t="s">
        <v>67</v>
      </c>
      <c r="F4808" t="s">
        <v>68</v>
      </c>
    </row>
    <row r="4809" spans="1:6" x14ac:dyDescent="0.35">
      <c r="A4809" t="s">
        <v>15</v>
      </c>
    </row>
    <row r="4810" spans="1:6" x14ac:dyDescent="0.35">
      <c r="A4810" t="s">
        <v>31</v>
      </c>
    </row>
    <row r="4811" spans="1:6" x14ac:dyDescent="0.35">
      <c r="A4811" t="s">
        <v>1</v>
      </c>
    </row>
    <row r="4812" spans="1:6" x14ac:dyDescent="0.35">
      <c r="A4812" t="s">
        <v>100</v>
      </c>
      <c r="B4812" t="s">
        <v>101</v>
      </c>
      <c r="C4812" t="s">
        <v>102</v>
      </c>
    </row>
    <row r="4813" spans="1:6" x14ac:dyDescent="0.35">
      <c r="A4813" t="s">
        <v>64</v>
      </c>
      <c r="B4813" t="s">
        <v>65</v>
      </c>
      <c r="C4813" t="s">
        <v>66</v>
      </c>
      <c r="D4813" t="s">
        <v>18</v>
      </c>
      <c r="E4813" t="s">
        <v>67</v>
      </c>
      <c r="F4813" t="s">
        <v>68</v>
      </c>
    </row>
    <row r="4814" spans="1:6" x14ac:dyDescent="0.35">
      <c r="A4814" t="s">
        <v>18</v>
      </c>
    </row>
    <row r="4815" spans="1:6" x14ac:dyDescent="0.35">
      <c r="A4815" t="s">
        <v>1</v>
      </c>
      <c r="B4815" t="s">
        <v>87</v>
      </c>
      <c r="C4815" t="s">
        <v>133</v>
      </c>
    </row>
    <row r="4816" spans="1:6" x14ac:dyDescent="0.35">
      <c r="A4816" t="s">
        <v>64</v>
      </c>
      <c r="B4816" t="s">
        <v>18</v>
      </c>
    </row>
    <row r="4817" spans="1:9" x14ac:dyDescent="0.35">
      <c r="A4817" t="s">
        <v>138</v>
      </c>
      <c r="B4817" t="s">
        <v>139</v>
      </c>
      <c r="C4817" t="s">
        <v>140</v>
      </c>
      <c r="D4817" t="s">
        <v>141</v>
      </c>
      <c r="E4817" t="s">
        <v>142</v>
      </c>
      <c r="F4817" t="s">
        <v>124</v>
      </c>
      <c r="G4817" t="s">
        <v>143</v>
      </c>
      <c r="H4817" t="s">
        <v>224</v>
      </c>
      <c r="I4817" t="s">
        <v>145</v>
      </c>
    </row>
    <row r="4818" spans="1:9" x14ac:dyDescent="0.35">
      <c r="A4818" t="s">
        <v>15</v>
      </c>
    </row>
    <row r="4819" spans="1:9" x14ac:dyDescent="0.35">
      <c r="A4819" t="s">
        <v>50</v>
      </c>
      <c r="B4819" t="s">
        <v>51</v>
      </c>
      <c r="C4819" t="s">
        <v>82</v>
      </c>
      <c r="D4819" t="s">
        <v>52</v>
      </c>
      <c r="E4819" t="s">
        <v>77</v>
      </c>
      <c r="F4819" t="s">
        <v>83</v>
      </c>
      <c r="G4819" t="s">
        <v>84</v>
      </c>
    </row>
    <row r="4820" spans="1:9" x14ac:dyDescent="0.35">
      <c r="A4820" t="s">
        <v>17</v>
      </c>
    </row>
    <row r="4821" spans="1:9" x14ac:dyDescent="0.35">
      <c r="A4821" t="s">
        <v>1</v>
      </c>
    </row>
    <row r="4822" spans="1:9" x14ac:dyDescent="0.35">
      <c r="A4822" t="s">
        <v>12</v>
      </c>
    </row>
    <row r="4823" spans="1:9" x14ac:dyDescent="0.35">
      <c r="A4823" t="s">
        <v>1</v>
      </c>
    </row>
    <row r="4824" spans="1:9" x14ac:dyDescent="0.35">
      <c r="A4824" t="s">
        <v>10</v>
      </c>
    </row>
    <row r="4825" spans="1:9" x14ac:dyDescent="0.35">
      <c r="A4825" t="s">
        <v>7</v>
      </c>
    </row>
    <row r="4826" spans="1:9" x14ac:dyDescent="0.35">
      <c r="A4826" t="s">
        <v>12</v>
      </c>
    </row>
    <row r="4827" spans="1:9" x14ac:dyDescent="0.35">
      <c r="A4827" t="s">
        <v>12</v>
      </c>
    </row>
    <row r="4828" spans="1:9" x14ac:dyDescent="0.35">
      <c r="A4828" t="s">
        <v>18</v>
      </c>
      <c r="B4828" t="s">
        <v>130</v>
      </c>
      <c r="C4828" t="s">
        <v>257</v>
      </c>
    </row>
    <row r="4829" spans="1:9" x14ac:dyDescent="0.35">
      <c r="A4829" t="s">
        <v>1</v>
      </c>
    </row>
    <row r="4830" spans="1:9" x14ac:dyDescent="0.35">
      <c r="A4830" t="s">
        <v>6</v>
      </c>
    </row>
    <row r="4831" spans="1:9" x14ac:dyDescent="0.35">
      <c r="A4831" t="s">
        <v>8</v>
      </c>
    </row>
    <row r="4832" spans="1:9" x14ac:dyDescent="0.35">
      <c r="A4832" t="s">
        <v>18</v>
      </c>
      <c r="B4832" t="s">
        <v>160</v>
      </c>
    </row>
    <row r="4833" spans="1:3" x14ac:dyDescent="0.35">
      <c r="A4833" t="s">
        <v>36</v>
      </c>
    </row>
    <row r="4834" spans="1:3" x14ac:dyDescent="0.35">
      <c r="A4834" t="s">
        <v>252</v>
      </c>
      <c r="B4834" t="s">
        <v>18</v>
      </c>
    </row>
    <row r="4835" spans="1:3" x14ac:dyDescent="0.35">
      <c r="A4835" t="s">
        <v>1</v>
      </c>
      <c r="B4835" t="s">
        <v>87</v>
      </c>
      <c r="C4835" t="s">
        <v>204</v>
      </c>
    </row>
    <row r="4836" spans="1:3" x14ac:dyDescent="0.35">
      <c r="A4836" t="s">
        <v>18</v>
      </c>
      <c r="B4836" t="s">
        <v>130</v>
      </c>
    </row>
    <row r="4837" spans="1:3" x14ac:dyDescent="0.35">
      <c r="A4837" t="s">
        <v>3</v>
      </c>
    </row>
    <row r="4838" spans="1:3" x14ac:dyDescent="0.35">
      <c r="A4838" t="s">
        <v>1</v>
      </c>
    </row>
    <row r="4839" spans="1:3" x14ac:dyDescent="0.35">
      <c r="A4839" t="s">
        <v>105</v>
      </c>
      <c r="B4839" t="s">
        <v>137</v>
      </c>
      <c r="C4839" t="s">
        <v>11</v>
      </c>
    </row>
    <row r="4840" spans="1:3" x14ac:dyDescent="0.35">
      <c r="A4840" t="s">
        <v>237</v>
      </c>
      <c r="B4840" t="s">
        <v>291</v>
      </c>
      <c r="C4840" t="s">
        <v>198</v>
      </c>
    </row>
    <row r="4841" spans="1:3" x14ac:dyDescent="0.35">
      <c r="A4841" t="s">
        <v>1</v>
      </c>
      <c r="B4841" t="s">
        <v>87</v>
      </c>
      <c r="C4841" t="s">
        <v>131</v>
      </c>
    </row>
    <row r="4842" spans="1:3" x14ac:dyDescent="0.35">
      <c r="A4842" t="s">
        <v>1</v>
      </c>
    </row>
    <row r="4843" spans="1:3" x14ac:dyDescent="0.35">
      <c r="A4843" t="s">
        <v>15</v>
      </c>
    </row>
    <row r="4844" spans="1:3" x14ac:dyDescent="0.35">
      <c r="A4844" t="s">
        <v>21</v>
      </c>
    </row>
    <row r="4845" spans="1:3" x14ac:dyDescent="0.35">
      <c r="A4845" t="s">
        <v>81</v>
      </c>
      <c r="B4845" t="s">
        <v>11</v>
      </c>
    </row>
    <row r="4846" spans="1:3" x14ac:dyDescent="0.35">
      <c r="A4846" t="s">
        <v>18</v>
      </c>
      <c r="B4846" t="s">
        <v>178</v>
      </c>
    </row>
    <row r="4847" spans="1:3" x14ac:dyDescent="0.35">
      <c r="A4847" t="s">
        <v>7</v>
      </c>
    </row>
    <row r="4848" spans="1:3" x14ac:dyDescent="0.35">
      <c r="A4848" t="s">
        <v>162</v>
      </c>
      <c r="B4848" t="s">
        <v>124</v>
      </c>
    </row>
    <row r="4849" spans="1:9" x14ac:dyDescent="0.35">
      <c r="A4849" t="s">
        <v>148</v>
      </c>
      <c r="B4849" t="s">
        <v>18</v>
      </c>
    </row>
    <row r="4850" spans="1:9" x14ac:dyDescent="0.35">
      <c r="A4850" t="s">
        <v>35</v>
      </c>
    </row>
    <row r="4851" spans="1:9" x14ac:dyDescent="0.35">
      <c r="A4851" t="s">
        <v>123</v>
      </c>
      <c r="B4851" t="s">
        <v>124</v>
      </c>
      <c r="C4851" t="s">
        <v>125</v>
      </c>
    </row>
    <row r="4852" spans="1:9" x14ac:dyDescent="0.35">
      <c r="A4852" t="s">
        <v>64</v>
      </c>
      <c r="B4852" t="s">
        <v>205</v>
      </c>
      <c r="C4852" t="s">
        <v>66</v>
      </c>
      <c r="D4852" t="s">
        <v>18</v>
      </c>
      <c r="E4852" t="s">
        <v>67</v>
      </c>
      <c r="F4852" t="s">
        <v>68</v>
      </c>
    </row>
    <row r="4853" spans="1:9" x14ac:dyDescent="0.35">
      <c r="A4853" t="s">
        <v>29</v>
      </c>
      <c r="B4853" t="s">
        <v>219</v>
      </c>
      <c r="C4853" t="s">
        <v>207</v>
      </c>
      <c r="D4853" t="s">
        <v>220</v>
      </c>
      <c r="E4853" t="s">
        <v>292</v>
      </c>
      <c r="F4853" t="s">
        <v>293</v>
      </c>
      <c r="G4853" t="s">
        <v>167</v>
      </c>
      <c r="H4853" t="s">
        <v>208</v>
      </c>
      <c r="I4853" t="s">
        <v>168</v>
      </c>
    </row>
    <row r="4854" spans="1:9" x14ac:dyDescent="0.35">
      <c r="A4854" t="s">
        <v>17</v>
      </c>
    </row>
    <row r="4855" spans="1:9" x14ac:dyDescent="0.35">
      <c r="A4855" t="s">
        <v>166</v>
      </c>
      <c r="B4855" t="s">
        <v>167</v>
      </c>
      <c r="C4855" t="s">
        <v>168</v>
      </c>
      <c r="D4855" t="s">
        <v>169</v>
      </c>
    </row>
    <row r="4856" spans="1:9" x14ac:dyDescent="0.35">
      <c r="A4856" t="s">
        <v>126</v>
      </c>
      <c r="B4856" t="s">
        <v>127</v>
      </c>
    </row>
    <row r="4857" spans="1:9" x14ac:dyDescent="0.35">
      <c r="A4857" t="s">
        <v>4</v>
      </c>
    </row>
    <row r="4858" spans="1:9" x14ac:dyDescent="0.35">
      <c r="A4858" t="s">
        <v>7</v>
      </c>
    </row>
    <row r="4859" spans="1:9" x14ac:dyDescent="0.35">
      <c r="A4859" t="s">
        <v>8</v>
      </c>
    </row>
    <row r="4860" spans="1:9" x14ac:dyDescent="0.35">
      <c r="A4860" t="s">
        <v>15</v>
      </c>
    </row>
    <row r="4861" spans="1:9" x14ac:dyDescent="0.35">
      <c r="A4861" t="s">
        <v>18</v>
      </c>
      <c r="B4861" t="s">
        <v>130</v>
      </c>
    </row>
    <row r="4862" spans="1:9" x14ac:dyDescent="0.35">
      <c r="A4862" t="s">
        <v>38</v>
      </c>
    </row>
    <row r="4863" spans="1:9" x14ac:dyDescent="0.35">
      <c r="A4863" t="s">
        <v>3</v>
      </c>
    </row>
    <row r="4864" spans="1:9" x14ac:dyDescent="0.35">
      <c r="A4864" t="s">
        <v>11</v>
      </c>
    </row>
    <row r="4865" spans="1:4" x14ac:dyDescent="0.35">
      <c r="A4865" t="s">
        <v>50</v>
      </c>
      <c r="B4865" t="s">
        <v>51</v>
      </c>
      <c r="C4865" t="s">
        <v>52</v>
      </c>
    </row>
    <row r="4866" spans="1:4" x14ac:dyDescent="0.35">
      <c r="A4866" t="s">
        <v>50</v>
      </c>
      <c r="B4866" t="s">
        <v>51</v>
      </c>
      <c r="C4866" t="s">
        <v>52</v>
      </c>
      <c r="D4866" t="s">
        <v>61</v>
      </c>
    </row>
    <row r="4867" spans="1:4" x14ac:dyDescent="0.35">
      <c r="A4867" t="s">
        <v>1</v>
      </c>
    </row>
    <row r="4868" spans="1:4" x14ac:dyDescent="0.35">
      <c r="A4868" t="s">
        <v>96</v>
      </c>
      <c r="B4868" t="s">
        <v>200</v>
      </c>
      <c r="C4868" t="s">
        <v>18</v>
      </c>
    </row>
    <row r="4869" spans="1:4" x14ac:dyDescent="0.35">
      <c r="A4869" t="s">
        <v>17</v>
      </c>
    </row>
    <row r="4870" spans="1:4" x14ac:dyDescent="0.35">
      <c r="A4870" t="s">
        <v>96</v>
      </c>
      <c r="B4870" t="s">
        <v>18</v>
      </c>
    </row>
    <row r="4871" spans="1:4" x14ac:dyDescent="0.35">
      <c r="A4871" t="s">
        <v>56</v>
      </c>
      <c r="B4871" t="s">
        <v>57</v>
      </c>
    </row>
    <row r="4872" spans="1:4" x14ac:dyDescent="0.35">
      <c r="A4872" t="s">
        <v>1</v>
      </c>
    </row>
    <row r="4873" spans="1:4" x14ac:dyDescent="0.35">
      <c r="A4873" t="s">
        <v>108</v>
      </c>
      <c r="B4873" t="s">
        <v>11</v>
      </c>
    </row>
    <row r="4874" spans="1:4" x14ac:dyDescent="0.35">
      <c r="A4874" t="s">
        <v>108</v>
      </c>
      <c r="B4874" t="s">
        <v>11</v>
      </c>
    </row>
    <row r="4875" spans="1:4" x14ac:dyDescent="0.35">
      <c r="A4875" t="s">
        <v>56</v>
      </c>
      <c r="B4875" t="s">
        <v>57</v>
      </c>
    </row>
    <row r="4876" spans="1:4" x14ac:dyDescent="0.35">
      <c r="A4876" t="s">
        <v>7</v>
      </c>
    </row>
    <row r="4877" spans="1:4" x14ac:dyDescent="0.35">
      <c r="A4877" t="s">
        <v>7</v>
      </c>
    </row>
    <row r="4878" spans="1:4" x14ac:dyDescent="0.35">
      <c r="A4878" t="s">
        <v>18</v>
      </c>
      <c r="B4878" t="s">
        <v>130</v>
      </c>
    </row>
    <row r="4879" spans="1:4" x14ac:dyDescent="0.35">
      <c r="A4879" t="s">
        <v>7</v>
      </c>
    </row>
    <row r="4880" spans="1:4" x14ac:dyDescent="0.35">
      <c r="A4880" t="s">
        <v>10</v>
      </c>
    </row>
    <row r="4881" spans="1:6" x14ac:dyDescent="0.35">
      <c r="A4881" t="s">
        <v>50</v>
      </c>
      <c r="B4881" t="s">
        <v>51</v>
      </c>
      <c r="C4881" t="s">
        <v>52</v>
      </c>
      <c r="D4881" t="s">
        <v>60</v>
      </c>
      <c r="E4881" t="s">
        <v>61</v>
      </c>
    </row>
    <row r="4882" spans="1:6" x14ac:dyDescent="0.35">
      <c r="A4882" t="s">
        <v>18</v>
      </c>
      <c r="B4882" t="s">
        <v>160</v>
      </c>
    </row>
    <row r="4883" spans="1:6" x14ac:dyDescent="0.35">
      <c r="A4883" t="s">
        <v>124</v>
      </c>
      <c r="B4883" t="s">
        <v>125</v>
      </c>
    </row>
    <row r="4884" spans="1:6" x14ac:dyDescent="0.35">
      <c r="A4884" t="s">
        <v>1</v>
      </c>
      <c r="B4884" t="s">
        <v>87</v>
      </c>
      <c r="C4884" t="s">
        <v>128</v>
      </c>
    </row>
    <row r="4885" spans="1:6" x14ac:dyDescent="0.35">
      <c r="A4885" t="s">
        <v>50</v>
      </c>
      <c r="B4885" t="s">
        <v>51</v>
      </c>
      <c r="C4885" t="s">
        <v>52</v>
      </c>
      <c r="D4885" t="s">
        <v>63</v>
      </c>
    </row>
    <row r="4886" spans="1:6" x14ac:dyDescent="0.35">
      <c r="A4886" t="s">
        <v>126</v>
      </c>
      <c r="B4886" t="s">
        <v>127</v>
      </c>
    </row>
    <row r="4887" spans="1:6" x14ac:dyDescent="0.35">
      <c r="A4887" t="s">
        <v>154</v>
      </c>
      <c r="B4887" t="s">
        <v>1</v>
      </c>
    </row>
    <row r="4888" spans="1:6" x14ac:dyDescent="0.35">
      <c r="A4888" t="s">
        <v>12</v>
      </c>
    </row>
    <row r="4889" spans="1:6" x14ac:dyDescent="0.35">
      <c r="A4889" t="s">
        <v>96</v>
      </c>
      <c r="B4889" t="s">
        <v>18</v>
      </c>
    </row>
    <row r="4890" spans="1:6" x14ac:dyDescent="0.35">
      <c r="A4890" t="s">
        <v>1</v>
      </c>
      <c r="B4890" t="s">
        <v>87</v>
      </c>
      <c r="C4890" t="s">
        <v>170</v>
      </c>
    </row>
    <row r="4891" spans="1:6" x14ac:dyDescent="0.35">
      <c r="A4891" t="s">
        <v>64</v>
      </c>
      <c r="B4891" t="s">
        <v>66</v>
      </c>
      <c r="C4891" t="s">
        <v>18</v>
      </c>
      <c r="D4891" t="s">
        <v>67</v>
      </c>
      <c r="E4891" t="s">
        <v>68</v>
      </c>
    </row>
    <row r="4892" spans="1:6" x14ac:dyDescent="0.35">
      <c r="A4892" t="s">
        <v>183</v>
      </c>
      <c r="B4892" t="s">
        <v>184</v>
      </c>
      <c r="C4892" t="s">
        <v>185</v>
      </c>
      <c r="D4892" t="s">
        <v>66</v>
      </c>
      <c r="E4892" t="s">
        <v>18</v>
      </c>
      <c r="F4892" t="s">
        <v>67</v>
      </c>
    </row>
    <row r="4893" spans="1:6" x14ac:dyDescent="0.35">
      <c r="A4893" t="s">
        <v>26</v>
      </c>
    </row>
    <row r="4894" spans="1:6" x14ac:dyDescent="0.35">
      <c r="A4894" t="s">
        <v>155</v>
      </c>
      <c r="B4894" t="s">
        <v>261</v>
      </c>
    </row>
    <row r="4895" spans="1:6" x14ac:dyDescent="0.35">
      <c r="A4895" t="s">
        <v>96</v>
      </c>
      <c r="B4895" t="s">
        <v>18</v>
      </c>
    </row>
    <row r="4896" spans="1:6" x14ac:dyDescent="0.35">
      <c r="A4896" t="s">
        <v>12</v>
      </c>
    </row>
    <row r="4897" spans="1:6" x14ac:dyDescent="0.35">
      <c r="A4897" t="s">
        <v>4</v>
      </c>
    </row>
    <row r="4898" spans="1:6" x14ac:dyDescent="0.35">
      <c r="A4898" t="s">
        <v>18</v>
      </c>
    </row>
    <row r="4899" spans="1:6" x14ac:dyDescent="0.35">
      <c r="A4899" t="s">
        <v>96</v>
      </c>
      <c r="B4899" t="s">
        <v>18</v>
      </c>
    </row>
    <row r="4900" spans="1:6" x14ac:dyDescent="0.35">
      <c r="A4900" t="s">
        <v>50</v>
      </c>
      <c r="B4900" t="s">
        <v>51</v>
      </c>
      <c r="C4900" t="s">
        <v>52</v>
      </c>
      <c r="D4900" t="s">
        <v>72</v>
      </c>
      <c r="E4900" t="s">
        <v>73</v>
      </c>
      <c r="F4900" t="s">
        <v>113</v>
      </c>
    </row>
    <row r="4901" spans="1:6" x14ac:dyDescent="0.35">
      <c r="A4901" t="s">
        <v>40</v>
      </c>
    </row>
    <row r="4902" spans="1:6" x14ac:dyDescent="0.35">
      <c r="A4902" t="s">
        <v>18</v>
      </c>
      <c r="B4902" t="s">
        <v>130</v>
      </c>
    </row>
    <row r="4903" spans="1:6" x14ac:dyDescent="0.35">
      <c r="A4903" t="s">
        <v>100</v>
      </c>
      <c r="B4903" t="s">
        <v>102</v>
      </c>
    </row>
    <row r="4904" spans="1:6" x14ac:dyDescent="0.35">
      <c r="A4904" t="s">
        <v>154</v>
      </c>
      <c r="B4904" t="s">
        <v>1</v>
      </c>
    </row>
    <row r="4905" spans="1:6" x14ac:dyDescent="0.35">
      <c r="A4905" t="s">
        <v>15</v>
      </c>
    </row>
    <row r="4906" spans="1:6" x14ac:dyDescent="0.35">
      <c r="A4906" t="s">
        <v>7</v>
      </c>
    </row>
    <row r="4907" spans="1:6" x14ac:dyDescent="0.35">
      <c r="A4907" t="s">
        <v>64</v>
      </c>
      <c r="B4907" t="s">
        <v>65</v>
      </c>
      <c r="C4907" t="s">
        <v>91</v>
      </c>
      <c r="D4907" t="s">
        <v>18</v>
      </c>
    </row>
    <row r="4908" spans="1:6" x14ac:dyDescent="0.35">
      <c r="A4908" t="s">
        <v>41</v>
      </c>
      <c r="B4908" t="s">
        <v>167</v>
      </c>
    </row>
    <row r="4909" spans="1:6" x14ac:dyDescent="0.35">
      <c r="A4909" t="s">
        <v>64</v>
      </c>
      <c r="B4909" t="s">
        <v>66</v>
      </c>
      <c r="C4909" t="s">
        <v>18</v>
      </c>
      <c r="D4909" t="s">
        <v>67</v>
      </c>
      <c r="E4909" t="s">
        <v>68</v>
      </c>
    </row>
    <row r="4910" spans="1:6" x14ac:dyDescent="0.35">
      <c r="A4910" t="s">
        <v>1</v>
      </c>
      <c r="B4910" t="s">
        <v>196</v>
      </c>
    </row>
    <row r="4911" spans="1:6" x14ac:dyDescent="0.35">
      <c r="A4911" t="s">
        <v>56</v>
      </c>
      <c r="B4911" t="s">
        <v>57</v>
      </c>
    </row>
    <row r="4912" spans="1:6" x14ac:dyDescent="0.35">
      <c r="A4912" t="s">
        <v>24</v>
      </c>
    </row>
    <row r="4913" spans="1:7" x14ac:dyDescent="0.35">
      <c r="A4913" t="s">
        <v>1</v>
      </c>
      <c r="B4913" t="s">
        <v>87</v>
      </c>
      <c r="C4913" t="s">
        <v>294</v>
      </c>
    </row>
    <row r="4914" spans="1:7" x14ac:dyDescent="0.35">
      <c r="A4914" t="s">
        <v>96</v>
      </c>
      <c r="B4914" t="s">
        <v>18</v>
      </c>
    </row>
    <row r="4915" spans="1:7" x14ac:dyDescent="0.35">
      <c r="A4915" t="s">
        <v>1</v>
      </c>
      <c r="B4915" t="s">
        <v>21</v>
      </c>
    </row>
    <row r="4916" spans="1:7" x14ac:dyDescent="0.35">
      <c r="A4916" t="s">
        <v>64</v>
      </c>
      <c r="B4916" t="s">
        <v>66</v>
      </c>
      <c r="C4916" t="s">
        <v>18</v>
      </c>
      <c r="D4916" t="s">
        <v>67</v>
      </c>
      <c r="E4916" t="s">
        <v>68</v>
      </c>
    </row>
    <row r="4917" spans="1:7" x14ac:dyDescent="0.35">
      <c r="A4917" t="s">
        <v>100</v>
      </c>
      <c r="B4917" t="s">
        <v>101</v>
      </c>
      <c r="C4917" t="s">
        <v>102</v>
      </c>
    </row>
    <row r="4918" spans="1:7" x14ac:dyDescent="0.35">
      <c r="A4918" t="s">
        <v>18</v>
      </c>
    </row>
    <row r="4919" spans="1:7" x14ac:dyDescent="0.35">
      <c r="A4919" t="s">
        <v>12</v>
      </c>
    </row>
    <row r="4920" spans="1:7" x14ac:dyDescent="0.35">
      <c r="A4920" t="s">
        <v>17</v>
      </c>
    </row>
    <row r="4921" spans="1:7" x14ac:dyDescent="0.35">
      <c r="A4921" t="s">
        <v>64</v>
      </c>
      <c r="B4921" t="s">
        <v>66</v>
      </c>
      <c r="C4921" t="s">
        <v>18</v>
      </c>
      <c r="D4921" t="s">
        <v>67</v>
      </c>
      <c r="E4921" t="s">
        <v>68</v>
      </c>
    </row>
    <row r="4922" spans="1:7" x14ac:dyDescent="0.35">
      <c r="A4922" t="s">
        <v>148</v>
      </c>
      <c r="B4922" t="s">
        <v>18</v>
      </c>
    </row>
    <row r="4923" spans="1:7" x14ac:dyDescent="0.35">
      <c r="A4923" t="s">
        <v>9</v>
      </c>
    </row>
    <row r="4924" spans="1:7" x14ac:dyDescent="0.35">
      <c r="A4924" t="s">
        <v>12</v>
      </c>
    </row>
    <row r="4925" spans="1:7" x14ac:dyDescent="0.35">
      <c r="A4925" t="s">
        <v>7</v>
      </c>
    </row>
    <row r="4926" spans="1:7" x14ac:dyDescent="0.35">
      <c r="A4926" t="s">
        <v>8</v>
      </c>
    </row>
    <row r="4927" spans="1:7" x14ac:dyDescent="0.35">
      <c r="A4927" t="s">
        <v>96</v>
      </c>
      <c r="B4927" t="s">
        <v>18</v>
      </c>
    </row>
    <row r="4928" spans="1:7" x14ac:dyDescent="0.35">
      <c r="A4928" t="s">
        <v>64</v>
      </c>
      <c r="B4928" t="s">
        <v>65</v>
      </c>
      <c r="C4928" t="s">
        <v>158</v>
      </c>
      <c r="D4928" t="s">
        <v>66</v>
      </c>
      <c r="E4928" t="s">
        <v>18</v>
      </c>
      <c r="F4928" t="s">
        <v>67</v>
      </c>
      <c r="G4928" t="s">
        <v>68</v>
      </c>
    </row>
    <row r="4929" spans="1:7" x14ac:dyDescent="0.35">
      <c r="A4929" t="s">
        <v>8</v>
      </c>
    </row>
    <row r="4930" spans="1:7" x14ac:dyDescent="0.35">
      <c r="A4930" t="s">
        <v>12</v>
      </c>
    </row>
    <row r="4931" spans="1:7" x14ac:dyDescent="0.35">
      <c r="A4931" t="s">
        <v>23</v>
      </c>
    </row>
    <row r="4932" spans="1:7" x14ac:dyDescent="0.35">
      <c r="A4932" t="s">
        <v>18</v>
      </c>
      <c r="B4932" t="s">
        <v>160</v>
      </c>
    </row>
    <row r="4933" spans="1:7" x14ac:dyDescent="0.35">
      <c r="A4933" t="s">
        <v>8</v>
      </c>
    </row>
    <row r="4934" spans="1:7" x14ac:dyDescent="0.35">
      <c r="A4934" t="s">
        <v>26</v>
      </c>
    </row>
    <row r="4935" spans="1:7" x14ac:dyDescent="0.35">
      <c r="A4935" t="s">
        <v>81</v>
      </c>
      <c r="B4935" t="s">
        <v>11</v>
      </c>
    </row>
    <row r="4936" spans="1:7" x14ac:dyDescent="0.35">
      <c r="A4936" t="s">
        <v>12</v>
      </c>
    </row>
    <row r="4937" spans="1:7" x14ac:dyDescent="0.35">
      <c r="A4937" t="s">
        <v>64</v>
      </c>
      <c r="B4937" t="s">
        <v>65</v>
      </c>
      <c r="C4937" t="s">
        <v>66</v>
      </c>
      <c r="D4937" t="s">
        <v>18</v>
      </c>
      <c r="E4937" t="s">
        <v>129</v>
      </c>
      <c r="F4937" t="s">
        <v>67</v>
      </c>
      <c r="G4937" t="s">
        <v>68</v>
      </c>
    </row>
    <row r="4938" spans="1:7" x14ac:dyDescent="0.35">
      <c r="A4938" t="s">
        <v>115</v>
      </c>
      <c r="B4938" t="s">
        <v>11</v>
      </c>
    </row>
    <row r="4939" spans="1:7" x14ac:dyDescent="0.35">
      <c r="A4939" t="s">
        <v>18</v>
      </c>
      <c r="B4939" t="s">
        <v>273</v>
      </c>
    </row>
    <row r="4940" spans="1:7" x14ac:dyDescent="0.35">
      <c r="A4940" t="s">
        <v>162</v>
      </c>
      <c r="B4940" t="s">
        <v>164</v>
      </c>
      <c r="C4940" t="s">
        <v>124</v>
      </c>
      <c r="D4940" t="s">
        <v>271</v>
      </c>
    </row>
    <row r="4941" spans="1:7" x14ac:dyDescent="0.35">
      <c r="A4941" t="s">
        <v>64</v>
      </c>
      <c r="B4941" t="s">
        <v>66</v>
      </c>
      <c r="C4941" t="s">
        <v>18</v>
      </c>
      <c r="D4941" t="s">
        <v>67</v>
      </c>
      <c r="E4941" t="s">
        <v>68</v>
      </c>
    </row>
    <row r="4942" spans="1:7" x14ac:dyDescent="0.35">
      <c r="A4942" t="s">
        <v>222</v>
      </c>
      <c r="B4942" t="s">
        <v>1</v>
      </c>
      <c r="C4942" t="s">
        <v>87</v>
      </c>
    </row>
    <row r="4943" spans="1:7" x14ac:dyDescent="0.35">
      <c r="A4943" t="s">
        <v>50</v>
      </c>
      <c r="B4943" t="s">
        <v>51</v>
      </c>
      <c r="C4943" t="s">
        <v>52</v>
      </c>
      <c r="D4943" t="s">
        <v>63</v>
      </c>
    </row>
    <row r="4944" spans="1:7" x14ac:dyDescent="0.35">
      <c r="A4944" t="s">
        <v>4</v>
      </c>
    </row>
    <row r="4945" spans="1:7" x14ac:dyDescent="0.35">
      <c r="A4945" t="s">
        <v>7</v>
      </c>
    </row>
    <row r="4946" spans="1:7" x14ac:dyDescent="0.35">
      <c r="A4946" t="s">
        <v>3</v>
      </c>
    </row>
    <row r="4947" spans="1:7" x14ac:dyDescent="0.35">
      <c r="A4947" t="s">
        <v>162</v>
      </c>
      <c r="B4947" t="s">
        <v>263</v>
      </c>
      <c r="C4947" t="s">
        <v>164</v>
      </c>
      <c r="D4947" t="s">
        <v>124</v>
      </c>
    </row>
    <row r="4948" spans="1:7" x14ac:dyDescent="0.35">
      <c r="A4948" t="s">
        <v>31</v>
      </c>
    </row>
    <row r="4949" spans="1:7" x14ac:dyDescent="0.35">
      <c r="A4949" t="s">
        <v>19</v>
      </c>
    </row>
    <row r="4950" spans="1:7" x14ac:dyDescent="0.35">
      <c r="A4950" t="s">
        <v>18</v>
      </c>
      <c r="B4950" t="s">
        <v>160</v>
      </c>
    </row>
    <row r="4951" spans="1:7" x14ac:dyDescent="0.35">
      <c r="A4951" t="s">
        <v>18</v>
      </c>
      <c r="B4951" t="s">
        <v>160</v>
      </c>
    </row>
    <row r="4952" spans="1:7" x14ac:dyDescent="0.35">
      <c r="A4952" t="s">
        <v>12</v>
      </c>
    </row>
    <row r="4953" spans="1:7" x14ac:dyDescent="0.35">
      <c r="A4953" t="s">
        <v>1</v>
      </c>
    </row>
    <row r="4954" spans="1:7" x14ac:dyDescent="0.35">
      <c r="A4954" t="s">
        <v>4</v>
      </c>
    </row>
    <row r="4955" spans="1:7" x14ac:dyDescent="0.35">
      <c r="A4955" t="s">
        <v>96</v>
      </c>
      <c r="B4955" t="s">
        <v>18</v>
      </c>
    </row>
    <row r="4956" spans="1:7" x14ac:dyDescent="0.35">
      <c r="A4956" t="s">
        <v>18</v>
      </c>
      <c r="B4956" t="s">
        <v>130</v>
      </c>
    </row>
    <row r="4957" spans="1:7" x14ac:dyDescent="0.35">
      <c r="A4957" t="s">
        <v>8</v>
      </c>
    </row>
    <row r="4958" spans="1:7" x14ac:dyDescent="0.35">
      <c r="A4958" t="s">
        <v>23</v>
      </c>
    </row>
    <row r="4959" spans="1:7" x14ac:dyDescent="0.35">
      <c r="A4959" t="s">
        <v>187</v>
      </c>
      <c r="B4959" t="s">
        <v>167</v>
      </c>
      <c r="C4959" t="s">
        <v>168</v>
      </c>
      <c r="D4959" t="s">
        <v>169</v>
      </c>
    </row>
    <row r="4960" spans="1:7" x14ac:dyDescent="0.35">
      <c r="A4960" t="s">
        <v>64</v>
      </c>
      <c r="B4960" t="s">
        <v>65</v>
      </c>
      <c r="C4960" t="s">
        <v>158</v>
      </c>
      <c r="D4960" t="s">
        <v>66</v>
      </c>
      <c r="E4960" t="s">
        <v>18</v>
      </c>
      <c r="F4960" t="s">
        <v>67</v>
      </c>
      <c r="G4960" t="s">
        <v>68</v>
      </c>
    </row>
    <row r="4961" spans="1:6" x14ac:dyDescent="0.35">
      <c r="A4961" t="s">
        <v>17</v>
      </c>
    </row>
    <row r="4962" spans="1:6" x14ac:dyDescent="0.35">
      <c r="A4962" t="s">
        <v>64</v>
      </c>
      <c r="B4962" t="s">
        <v>65</v>
      </c>
      <c r="C4962" t="s">
        <v>66</v>
      </c>
      <c r="D4962" t="s">
        <v>18</v>
      </c>
      <c r="E4962" t="s">
        <v>67</v>
      </c>
      <c r="F4962" t="s">
        <v>68</v>
      </c>
    </row>
    <row r="4963" spans="1:6" x14ac:dyDescent="0.35">
      <c r="A4963" t="s">
        <v>115</v>
      </c>
      <c r="B4963" t="s">
        <v>11</v>
      </c>
    </row>
    <row r="4964" spans="1:6" x14ac:dyDescent="0.35">
      <c r="A4964" t="s">
        <v>1</v>
      </c>
    </row>
    <row r="4965" spans="1:6" x14ac:dyDescent="0.35">
      <c r="A4965" t="s">
        <v>100</v>
      </c>
      <c r="B4965" t="s">
        <v>101</v>
      </c>
      <c r="C4965" t="s">
        <v>102</v>
      </c>
    </row>
    <row r="4966" spans="1:6" x14ac:dyDescent="0.35">
      <c r="A4966" t="s">
        <v>1</v>
      </c>
    </row>
    <row r="4967" spans="1:6" x14ac:dyDescent="0.35">
      <c r="A4967" t="s">
        <v>126</v>
      </c>
      <c r="B4967" t="s">
        <v>127</v>
      </c>
    </row>
    <row r="4968" spans="1:6" x14ac:dyDescent="0.35">
      <c r="A4968" t="s">
        <v>3</v>
      </c>
    </row>
    <row r="4969" spans="1:6" x14ac:dyDescent="0.35">
      <c r="A4969" t="s">
        <v>9</v>
      </c>
    </row>
    <row r="4970" spans="1:6" x14ac:dyDescent="0.35">
      <c r="A4970" t="s">
        <v>18</v>
      </c>
      <c r="B4970" t="s">
        <v>130</v>
      </c>
    </row>
    <row r="4971" spans="1:6" x14ac:dyDescent="0.35">
      <c r="A4971" t="s">
        <v>64</v>
      </c>
      <c r="B4971" t="s">
        <v>66</v>
      </c>
      <c r="C4971" t="s">
        <v>18</v>
      </c>
      <c r="D4971" t="s">
        <v>67</v>
      </c>
      <c r="E4971" t="s">
        <v>68</v>
      </c>
    </row>
    <row r="4972" spans="1:6" x14ac:dyDescent="0.35">
      <c r="A4972" t="s">
        <v>1</v>
      </c>
    </row>
    <row r="4973" spans="1:6" x14ac:dyDescent="0.35">
      <c r="A4973" t="s">
        <v>18</v>
      </c>
      <c r="B4973" t="s">
        <v>160</v>
      </c>
    </row>
    <row r="4974" spans="1:6" x14ac:dyDescent="0.35">
      <c r="A4974" t="s">
        <v>49</v>
      </c>
    </row>
    <row r="4975" spans="1:6" x14ac:dyDescent="0.35">
      <c r="A4975" t="s">
        <v>3</v>
      </c>
    </row>
    <row r="4976" spans="1:6" x14ac:dyDescent="0.35">
      <c r="A4976" t="s">
        <v>15</v>
      </c>
    </row>
    <row r="4977" spans="1:6" x14ac:dyDescent="0.35">
      <c r="A4977" t="s">
        <v>123</v>
      </c>
      <c r="B4977" t="s">
        <v>124</v>
      </c>
      <c r="C4977" t="s">
        <v>125</v>
      </c>
    </row>
    <row r="4978" spans="1:6" x14ac:dyDescent="0.35">
      <c r="A4978" t="s">
        <v>40</v>
      </c>
    </row>
    <row r="4979" spans="1:6" x14ac:dyDescent="0.35">
      <c r="A4979" t="s">
        <v>1</v>
      </c>
      <c r="B4979" t="s">
        <v>87</v>
      </c>
      <c r="C4979" t="s">
        <v>204</v>
      </c>
    </row>
    <row r="4980" spans="1:6" x14ac:dyDescent="0.35">
      <c r="A4980" t="s">
        <v>11</v>
      </c>
    </row>
    <row r="4981" spans="1:6" x14ac:dyDescent="0.35">
      <c r="A4981" t="s">
        <v>96</v>
      </c>
      <c r="B4981" t="s">
        <v>18</v>
      </c>
    </row>
    <row r="4982" spans="1:6" x14ac:dyDescent="0.35">
      <c r="A4982" t="s">
        <v>123</v>
      </c>
      <c r="B4982" t="s">
        <v>124</v>
      </c>
      <c r="C4982" t="s">
        <v>125</v>
      </c>
    </row>
    <row r="4983" spans="1:6" x14ac:dyDescent="0.35">
      <c r="A4983" t="s">
        <v>29</v>
      </c>
    </row>
    <row r="4984" spans="1:6" x14ac:dyDescent="0.35">
      <c r="A4984" t="s">
        <v>96</v>
      </c>
      <c r="B4984" t="s">
        <v>18</v>
      </c>
    </row>
    <row r="4985" spans="1:6" x14ac:dyDescent="0.35">
      <c r="A4985" t="s">
        <v>23</v>
      </c>
    </row>
    <row r="4986" spans="1:6" x14ac:dyDescent="0.35">
      <c r="A4986" t="s">
        <v>105</v>
      </c>
      <c r="B4986" t="s">
        <v>137</v>
      </c>
      <c r="C4986" t="s">
        <v>11</v>
      </c>
    </row>
    <row r="4987" spans="1:6" x14ac:dyDescent="0.35">
      <c r="A4987" t="s">
        <v>64</v>
      </c>
      <c r="B4987" t="s">
        <v>65</v>
      </c>
      <c r="C4987" t="s">
        <v>66</v>
      </c>
      <c r="D4987" t="s">
        <v>18</v>
      </c>
      <c r="E4987" t="s">
        <v>67</v>
      </c>
      <c r="F4987" t="s">
        <v>68</v>
      </c>
    </row>
    <row r="4988" spans="1:6" x14ac:dyDescent="0.35">
      <c r="A4988" t="s">
        <v>3</v>
      </c>
    </row>
    <row r="4989" spans="1:6" x14ac:dyDescent="0.35">
      <c r="A4989" t="s">
        <v>64</v>
      </c>
      <c r="B4989" t="s">
        <v>18</v>
      </c>
    </row>
    <row r="4990" spans="1:6" x14ac:dyDescent="0.35">
      <c r="A4990" t="s">
        <v>1</v>
      </c>
    </row>
    <row r="4991" spans="1:6" x14ac:dyDescent="0.35">
      <c r="A4991" t="s">
        <v>167</v>
      </c>
      <c r="B4991" t="s">
        <v>168</v>
      </c>
      <c r="C4991" t="s">
        <v>169</v>
      </c>
    </row>
    <row r="4992" spans="1:6" x14ac:dyDescent="0.35">
      <c r="A4992" t="s">
        <v>121</v>
      </c>
      <c r="B4992" t="s">
        <v>250</v>
      </c>
      <c r="C4992" t="s">
        <v>18</v>
      </c>
    </row>
    <row r="4993" spans="1:5" x14ac:dyDescent="0.35">
      <c r="A4993" t="s">
        <v>24</v>
      </c>
    </row>
    <row r="4994" spans="1:5" x14ac:dyDescent="0.35">
      <c r="A4994" t="s">
        <v>162</v>
      </c>
      <c r="B4994" t="s">
        <v>124</v>
      </c>
    </row>
    <row r="4995" spans="1:5" x14ac:dyDescent="0.35">
      <c r="A4995" t="s">
        <v>1</v>
      </c>
    </row>
    <row r="4996" spans="1:5" x14ac:dyDescent="0.35">
      <c r="A4996" t="s">
        <v>123</v>
      </c>
      <c r="B4996" t="s">
        <v>175</v>
      </c>
      <c r="C4996" t="s">
        <v>295</v>
      </c>
      <c r="D4996" t="s">
        <v>124</v>
      </c>
      <c r="E4996" t="s">
        <v>125</v>
      </c>
    </row>
    <row r="4997" spans="1:5" x14ac:dyDescent="0.35">
      <c r="A4997" t="s">
        <v>18</v>
      </c>
    </row>
    <row r="4998" spans="1:5" x14ac:dyDescent="0.35">
      <c r="A4998" t="s">
        <v>1</v>
      </c>
      <c r="B4998" t="s">
        <v>87</v>
      </c>
      <c r="C4998" t="s">
        <v>188</v>
      </c>
    </row>
    <row r="4999" spans="1:5" x14ac:dyDescent="0.35">
      <c r="A4999" t="s">
        <v>93</v>
      </c>
      <c r="B4999" t="s">
        <v>50</v>
      </c>
      <c r="C4999" t="s">
        <v>51</v>
      </c>
      <c r="D4999" t="s">
        <v>52</v>
      </c>
    </row>
    <row r="5000" spans="1:5" x14ac:dyDescent="0.35">
      <c r="A5000" t="s">
        <v>126</v>
      </c>
      <c r="B5000" t="s">
        <v>127</v>
      </c>
    </row>
    <row r="5001" spans="1:5" x14ac:dyDescent="0.35">
      <c r="A5001" t="s">
        <v>18</v>
      </c>
      <c r="B500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C6A4-897A-4267-BE64-5E11EBD0FD32}">
  <dimension ref="A1:A400"/>
  <sheetViews>
    <sheetView workbookViewId="0">
      <selection activeCell="D1" sqref="D1"/>
    </sheetView>
  </sheetViews>
  <sheetFormatPr baseColWidth="10" defaultRowHeight="14.5" x14ac:dyDescent="0.35"/>
  <sheetData>
    <row r="1" spans="1:1" x14ac:dyDescent="0.35">
      <c r="A1" t="str" cm="1">
        <f t="array" ref="A1:A90">_xlfn.UNIQUE(map_appelations!$A$2:$A$5001)</f>
        <v>Côtes du Rhône</v>
      </c>
    </row>
    <row r="2" spans="1:1" x14ac:dyDescent="0.35">
      <c r="A2" t="str">
        <v>Bordeaux</v>
      </c>
    </row>
    <row r="3" spans="1:1" x14ac:dyDescent="0.35">
      <c r="A3" t="str">
        <v>Bergerac</v>
      </c>
    </row>
    <row r="4" spans="1:1" x14ac:dyDescent="0.35">
      <c r="A4" t="str">
        <v>Buzet</v>
      </c>
    </row>
    <row r="5" spans="1:1" x14ac:dyDescent="0.35">
      <c r="A5" t="str">
        <v>Côtes du Roussillon</v>
      </c>
    </row>
    <row r="6" spans="1:1" x14ac:dyDescent="0.35">
      <c r="A6" t="str">
        <v>Grand Roussillon</v>
      </c>
    </row>
    <row r="7" spans="1:1" x14ac:dyDescent="0.35">
      <c r="A7" t="str">
        <v>Coteaux d'Aix-en-Provence</v>
      </c>
    </row>
    <row r="8" spans="1:1" x14ac:dyDescent="0.35">
      <c r="A8" t="str">
        <v>Côtes de Duras</v>
      </c>
    </row>
    <row r="9" spans="1:1" x14ac:dyDescent="0.35">
      <c r="A9" t="str">
        <v>Barsac</v>
      </c>
    </row>
    <row r="10" spans="1:1" x14ac:dyDescent="0.35">
      <c r="A10" t="str">
        <v>Ajaccio</v>
      </c>
    </row>
    <row r="11" spans="1:1" x14ac:dyDescent="0.35">
      <c r="A11" t="str">
        <v>Côtes du Marmandais</v>
      </c>
    </row>
    <row r="12" spans="1:1" x14ac:dyDescent="0.35">
      <c r="A12" t="str">
        <v>Bandol</v>
      </c>
    </row>
    <row r="13" spans="1:1" x14ac:dyDescent="0.35">
      <c r="A13" t="str">
        <v>Ventoux</v>
      </c>
    </row>
    <row r="14" spans="1:1" x14ac:dyDescent="0.35">
      <c r="A14" t="str">
        <v>Blaye</v>
      </c>
    </row>
    <row r="15" spans="1:1" x14ac:dyDescent="0.35">
      <c r="A15" t="str">
        <v>Costières de Nîmes</v>
      </c>
    </row>
    <row r="16" spans="1:1" x14ac:dyDescent="0.35">
      <c r="A16" t="str">
        <v>Corbières</v>
      </c>
    </row>
    <row r="17" spans="1:1" x14ac:dyDescent="0.35">
      <c r="A17" t="str">
        <v>Gaillac</v>
      </c>
    </row>
    <row r="18" spans="1:1" x14ac:dyDescent="0.35">
      <c r="A18" t="str">
        <v>Grignan-les-Adhémar</v>
      </c>
    </row>
    <row r="19" spans="1:1" x14ac:dyDescent="0.35">
      <c r="A19" t="str">
        <v>Alsace</v>
      </c>
    </row>
    <row r="20" spans="1:1" x14ac:dyDescent="0.35">
      <c r="A20" t="str">
        <v>Vin de Corse ou Corse</v>
      </c>
    </row>
    <row r="21" spans="1:1" x14ac:dyDescent="0.35">
      <c r="A21" t="str">
        <v>Côtes de Provence</v>
      </c>
    </row>
    <row r="22" spans="1:1" x14ac:dyDescent="0.35">
      <c r="A22" t="str">
        <v>Muscat du Cap Corse</v>
      </c>
    </row>
    <row r="23" spans="1:1" x14ac:dyDescent="0.35">
      <c r="A23" t="str">
        <v>Palette</v>
      </c>
    </row>
    <row r="24" spans="1:1" x14ac:dyDescent="0.35">
      <c r="A24" t="str">
        <v>Vin de Corse Sartène ou Corse Sartène</v>
      </c>
    </row>
    <row r="25" spans="1:1" x14ac:dyDescent="0.35">
      <c r="A25" t="str">
        <v>Clairette de Die</v>
      </c>
    </row>
    <row r="26" spans="1:1" x14ac:dyDescent="0.35">
      <c r="A26" t="str">
        <v>Patrimonio</v>
      </c>
    </row>
    <row r="27" spans="1:1" x14ac:dyDescent="0.35">
      <c r="A27" t="str">
        <v>Luberon</v>
      </c>
    </row>
    <row r="28" spans="1:1" x14ac:dyDescent="0.35">
      <c r="A28" t="str">
        <v>Vin de Corse Calvi ou Corse Calvi</v>
      </c>
    </row>
    <row r="29" spans="1:1" x14ac:dyDescent="0.35">
      <c r="A29" t="str">
        <v>Clairette de Bellegarde</v>
      </c>
    </row>
    <row r="30" spans="1:1" x14ac:dyDescent="0.35">
      <c r="A30" t="str">
        <v>Fronton</v>
      </c>
    </row>
    <row r="31" spans="1:1" x14ac:dyDescent="0.35">
      <c r="A31" t="str">
        <v>Clairette du Languedoc</v>
      </c>
    </row>
    <row r="32" spans="1:1" x14ac:dyDescent="0.35">
      <c r="A32" t="str">
        <v>Chablis</v>
      </c>
    </row>
    <row r="33" spans="1:1" x14ac:dyDescent="0.35">
      <c r="A33" t="str">
        <v>Languedoc</v>
      </c>
    </row>
    <row r="34" spans="1:1" x14ac:dyDescent="0.35">
      <c r="A34" t="str">
        <v>Crémant de Limoux</v>
      </c>
    </row>
    <row r="35" spans="1:1" x14ac:dyDescent="0.35">
      <c r="A35" t="str">
        <v>Muscat de Frontignan ou Frontignan ou Vin de Frontignan</v>
      </c>
    </row>
    <row r="36" spans="1:1" x14ac:dyDescent="0.35">
      <c r="A36" t="str">
        <v>Coteaux varois en Provence</v>
      </c>
    </row>
    <row r="37" spans="1:1" x14ac:dyDescent="0.35">
      <c r="A37" t="str">
        <v>Bourgogne</v>
      </c>
    </row>
    <row r="38" spans="1:1" x14ac:dyDescent="0.35">
      <c r="A38" t="str">
        <v>Faugères</v>
      </c>
    </row>
    <row r="39" spans="1:1" x14ac:dyDescent="0.35">
      <c r="A39" t="str">
        <v>Tavel</v>
      </c>
    </row>
    <row r="40" spans="1:1" x14ac:dyDescent="0.35">
      <c r="A40" t="str">
        <v>Châtillon-en-Diois</v>
      </c>
    </row>
    <row r="41" spans="1:1" x14ac:dyDescent="0.35">
      <c r="A41" t="str">
        <v>Crémant du Jura</v>
      </c>
    </row>
    <row r="42" spans="1:1" x14ac:dyDescent="0.35">
      <c r="A42" t="str">
        <v>Cornas</v>
      </c>
    </row>
    <row r="43" spans="1:1" x14ac:dyDescent="0.35">
      <c r="A43" t="str">
        <v>Muscat de Mireval</v>
      </c>
    </row>
    <row r="44" spans="1:1" x14ac:dyDescent="0.35">
      <c r="A44" t="str">
        <v>Béarn</v>
      </c>
    </row>
    <row r="45" spans="1:1" x14ac:dyDescent="0.35">
      <c r="A45" t="str">
        <v>Vin de Corse Porto-Vecchio ou Corse Porto-Vecchio</v>
      </c>
    </row>
    <row r="46" spans="1:1" x14ac:dyDescent="0.35">
      <c r="A46" t="str">
        <v>Beaujolais</v>
      </c>
    </row>
    <row r="47" spans="1:1" x14ac:dyDescent="0.35">
      <c r="A47" t="str">
        <v>Crozes-Hermitage ou Crozes-Ermitage</v>
      </c>
    </row>
    <row r="48" spans="1:1" x14ac:dyDescent="0.35">
      <c r="A48" t="str">
        <v>Chinon</v>
      </c>
    </row>
    <row r="49" spans="1:1" x14ac:dyDescent="0.35">
      <c r="A49" t="str">
        <v>Brulhois</v>
      </c>
    </row>
    <row r="50" spans="1:1" x14ac:dyDescent="0.35">
      <c r="A50" t="str">
        <v>Cahors</v>
      </c>
    </row>
    <row r="51" spans="1:1" x14ac:dyDescent="0.35">
      <c r="A51" t="str">
        <v>Arbois</v>
      </c>
    </row>
    <row r="52" spans="1:1" x14ac:dyDescent="0.35">
      <c r="A52" t="str">
        <v>Côtes du Vivarais</v>
      </c>
    </row>
    <row r="53" spans="1:1" x14ac:dyDescent="0.35">
      <c r="A53" t="str">
        <v>Cabardès</v>
      </c>
    </row>
    <row r="54" spans="1:1" x14ac:dyDescent="0.35">
      <c r="A54" t="str">
        <v>Quincy</v>
      </c>
    </row>
    <row r="55" spans="1:1" x14ac:dyDescent="0.35">
      <c r="A55" t="str">
        <v>Banyuls</v>
      </c>
    </row>
    <row r="56" spans="1:1" x14ac:dyDescent="0.35">
      <c r="A56" t="str">
        <v>Entraygues - Le Fel</v>
      </c>
    </row>
    <row r="57" spans="1:1" x14ac:dyDescent="0.35">
      <c r="A57" t="str">
        <v>Bourgueil</v>
      </c>
    </row>
    <row r="58" spans="1:1" x14ac:dyDescent="0.35">
      <c r="A58" t="str">
        <v>Anjou</v>
      </c>
    </row>
    <row r="59" spans="1:1" x14ac:dyDescent="0.35">
      <c r="A59" t="str">
        <v>Marcillac</v>
      </c>
    </row>
    <row r="60" spans="1:1" x14ac:dyDescent="0.35">
      <c r="A60" t="str">
        <v>Beaumes de Venise</v>
      </c>
    </row>
    <row r="61" spans="1:1" x14ac:dyDescent="0.35">
      <c r="A61" t="str">
        <v>Châteauneuf-du-Pape</v>
      </c>
    </row>
    <row r="62" spans="1:1" x14ac:dyDescent="0.35">
      <c r="A62" t="str">
        <v>Cheverny</v>
      </c>
    </row>
    <row r="63" spans="1:1" x14ac:dyDescent="0.35">
      <c r="A63" t="str">
        <v>Seyssel</v>
      </c>
    </row>
    <row r="64" spans="1:1" x14ac:dyDescent="0.35">
      <c r="A64" t="str">
        <v>Crémant de Bourgogne</v>
      </c>
    </row>
    <row r="65" spans="1:1" x14ac:dyDescent="0.35">
      <c r="A65" t="str">
        <v>Malepère</v>
      </c>
    </row>
    <row r="66" spans="1:1" x14ac:dyDescent="0.35">
      <c r="A66" t="str">
        <v>Saint-Pourçain</v>
      </c>
    </row>
    <row r="67" spans="1:1" x14ac:dyDescent="0.35">
      <c r="A67" t="str">
        <v>Reuilly</v>
      </c>
    </row>
    <row r="68" spans="1:1" x14ac:dyDescent="0.35">
      <c r="A68" t="str">
        <v>Pierrevert</v>
      </c>
    </row>
    <row r="69" spans="1:1" x14ac:dyDescent="0.35">
      <c r="A69" t="str">
        <v>Irouléguy</v>
      </c>
    </row>
    <row r="70" spans="1:1" x14ac:dyDescent="0.35">
      <c r="A70" t="str">
        <v>Bourgogne Passe-tout-grains</v>
      </c>
    </row>
    <row r="71" spans="1:1" x14ac:dyDescent="0.35">
      <c r="A71" t="str">
        <v>Pouilly-Fumé ou Blanc Fumé de Pouilly</v>
      </c>
    </row>
    <row r="72" spans="1:1" x14ac:dyDescent="0.35">
      <c r="A72" t="str">
        <v>Côtes du Rhône Villages</v>
      </c>
    </row>
    <row r="73" spans="1:1" x14ac:dyDescent="0.35">
      <c r="A73" t="str">
        <v>Saint-Sardos</v>
      </c>
    </row>
    <row r="74" spans="1:1" x14ac:dyDescent="0.35">
      <c r="A74" t="str">
        <v>Tursan</v>
      </c>
    </row>
    <row r="75" spans="1:1" x14ac:dyDescent="0.35">
      <c r="A75" t="str">
        <v>Cairanne</v>
      </c>
    </row>
    <row r="76" spans="1:1" x14ac:dyDescent="0.35">
      <c r="A76" t="str">
        <v>Sancerre</v>
      </c>
    </row>
    <row r="77" spans="1:1" x14ac:dyDescent="0.35">
      <c r="A77" t="str">
        <v>Saint-Mont</v>
      </c>
    </row>
    <row r="78" spans="1:1" x14ac:dyDescent="0.35">
      <c r="A78" t="str">
        <v>Gros Plant du Pays Nantais</v>
      </c>
    </row>
    <row r="79" spans="1:1" x14ac:dyDescent="0.35">
      <c r="A79" t="str">
        <v>Crémant de Loire</v>
      </c>
    </row>
    <row r="80" spans="1:1" x14ac:dyDescent="0.35">
      <c r="A80" t="str">
        <v>Valençay</v>
      </c>
    </row>
    <row r="81" spans="1:1" x14ac:dyDescent="0.35">
      <c r="A81" t="str">
        <v>Roussette de Savoie</v>
      </c>
    </row>
    <row r="82" spans="1:1" x14ac:dyDescent="0.35">
      <c r="A82" t="str">
        <v>Orléans</v>
      </c>
    </row>
    <row r="83" spans="1:1" x14ac:dyDescent="0.35">
      <c r="A83" t="str">
        <v>La Clape</v>
      </c>
    </row>
    <row r="84" spans="1:1" x14ac:dyDescent="0.35">
      <c r="A84" t="str">
        <v>Haut-Poitou</v>
      </c>
    </row>
    <row r="85" spans="1:1" x14ac:dyDescent="0.35">
      <c r="A85" t="str">
        <v>Coteaux du Quercy</v>
      </c>
    </row>
    <row r="86" spans="1:1" x14ac:dyDescent="0.35">
      <c r="A86" t="str">
        <v>Côtes du Forez</v>
      </c>
    </row>
    <row r="87" spans="1:1" x14ac:dyDescent="0.35">
      <c r="A87" t="str">
        <v>Coteaux du Lyonnais</v>
      </c>
    </row>
    <row r="88" spans="1:1" x14ac:dyDescent="0.35">
      <c r="A88" t="str">
        <v>Bugey</v>
      </c>
    </row>
    <row r="89" spans="1:1" x14ac:dyDescent="0.35">
      <c r="A89" t="str">
        <v>Menetou-Salon</v>
      </c>
    </row>
    <row r="90" spans="1:1" x14ac:dyDescent="0.35">
      <c r="A90" t="str">
        <v>Estaing</v>
      </c>
    </row>
    <row r="91" spans="1:1" x14ac:dyDescent="0.35">
      <c r="A91" cm="1">
        <f t="array" ref="A91:A184">_xlfn.UNIQUE(map_appelations!$B$2:$B$5001)</f>
        <v>0</v>
      </c>
    </row>
    <row r="92" spans="1:1" x14ac:dyDescent="0.35">
      <c r="A92" t="str">
        <v>Bordeaux supérieur</v>
      </c>
    </row>
    <row r="93" spans="1:1" x14ac:dyDescent="0.35">
      <c r="A93" t="str">
        <v>Côtes de Bergerac</v>
      </c>
    </row>
    <row r="94" spans="1:1" x14ac:dyDescent="0.35">
      <c r="A94" t="str">
        <v>Côtes du Roussillon Villages</v>
      </c>
    </row>
    <row r="95" spans="1:1" x14ac:dyDescent="0.35">
      <c r="A95" t="str">
        <v>Muscat de Rivesaltes</v>
      </c>
    </row>
    <row r="96" spans="1:1" x14ac:dyDescent="0.35">
      <c r="A96" t="str">
        <v>Bordeaux Haut-Benauge</v>
      </c>
    </row>
    <row r="97" spans="1:1" x14ac:dyDescent="0.35">
      <c r="A97" t="str">
        <v>Bordeaux</v>
      </c>
    </row>
    <row r="98" spans="1:1" x14ac:dyDescent="0.35">
      <c r="A98" t="str">
        <v>Vin de Corse ou Corse</v>
      </c>
    </row>
    <row r="99" spans="1:1" x14ac:dyDescent="0.35">
      <c r="A99" t="str">
        <v>Côtes du Rhône Villages</v>
      </c>
    </row>
    <row r="100" spans="1:1" x14ac:dyDescent="0.35">
      <c r="A100" t="str">
        <v>Languedoc</v>
      </c>
    </row>
    <row r="101" spans="1:1" x14ac:dyDescent="0.35">
      <c r="A101" t="str">
        <v>Alsace suivi d'un nom de lieu-dit</v>
      </c>
    </row>
    <row r="102" spans="1:1" x14ac:dyDescent="0.35">
      <c r="A102" t="str">
        <v>Patrimonio</v>
      </c>
    </row>
    <row r="103" spans="1:1" x14ac:dyDescent="0.35">
      <c r="A103" t="str">
        <v>Grand Roussillon</v>
      </c>
    </row>
    <row r="104" spans="1:1" x14ac:dyDescent="0.35">
      <c r="A104" t="str">
        <v>Vin de Corse ou Corse Figari</v>
      </c>
    </row>
    <row r="105" spans="1:1" x14ac:dyDescent="0.35">
      <c r="A105" t="str">
        <v>Coteaux de Die</v>
      </c>
    </row>
    <row r="106" spans="1:1" x14ac:dyDescent="0.35">
      <c r="A106" t="str">
        <v>Les Baux de Provence</v>
      </c>
    </row>
    <row r="107" spans="1:1" x14ac:dyDescent="0.35">
      <c r="A107" t="str">
        <v>Clairette du Languedoc Cabrières</v>
      </c>
    </row>
    <row r="108" spans="1:1" x14ac:dyDescent="0.35">
      <c r="A108" t="str">
        <v>Crémant de Bourgogne</v>
      </c>
    </row>
    <row r="109" spans="1:1" x14ac:dyDescent="0.35">
      <c r="A109" t="str">
        <v>Limoux</v>
      </c>
    </row>
    <row r="110" spans="1:1" x14ac:dyDescent="0.35">
      <c r="A110" t="str">
        <v>Minervois</v>
      </c>
    </row>
    <row r="111" spans="1:1" x14ac:dyDescent="0.35">
      <c r="A111" t="str">
        <v>Lirac</v>
      </c>
    </row>
    <row r="112" spans="1:1" x14ac:dyDescent="0.35">
      <c r="A112" t="str">
        <v>Saint-Péray</v>
      </c>
    </row>
    <row r="113" spans="1:1" x14ac:dyDescent="0.35">
      <c r="A113" t="str">
        <v>Costières de Nîmes</v>
      </c>
    </row>
    <row r="114" spans="1:1" x14ac:dyDescent="0.35">
      <c r="A114" t="str">
        <v>Vin de Corse Coteaux du Cap Corse ou Corse Coteaux du Cap Corse</v>
      </c>
    </row>
    <row r="115" spans="1:1" x14ac:dyDescent="0.35">
      <c r="A115" t="str">
        <v>Bourgogne Passe-tout-grains</v>
      </c>
    </row>
    <row r="116" spans="1:1" x14ac:dyDescent="0.35">
      <c r="A116" t="str">
        <v>Clairette de Die</v>
      </c>
    </row>
    <row r="117" spans="1:1" x14ac:dyDescent="0.35">
      <c r="A117" t="str">
        <v>Côtes du Jura</v>
      </c>
    </row>
    <row r="118" spans="1:1" x14ac:dyDescent="0.35">
      <c r="A118" t="str">
        <v>Côtes du Rhône</v>
      </c>
    </row>
    <row r="119" spans="1:1" x14ac:dyDescent="0.35">
      <c r="A119" t="str">
        <v>Madiran</v>
      </c>
    </row>
    <row r="120" spans="1:1" x14ac:dyDescent="0.35">
      <c r="A120" t="str">
        <v>Saint-Chinian</v>
      </c>
    </row>
    <row r="121" spans="1:1" x14ac:dyDescent="0.35">
      <c r="A121" t="str">
        <v>Beaujolais Le Perréon</v>
      </c>
    </row>
    <row r="122" spans="1:1" x14ac:dyDescent="0.35">
      <c r="A122" t="str">
        <v>Crémant de Loire</v>
      </c>
    </row>
    <row r="123" spans="1:1" x14ac:dyDescent="0.35">
      <c r="A123" t="str">
        <v>Crémant du Jura</v>
      </c>
    </row>
    <row r="124" spans="1:1" x14ac:dyDescent="0.35">
      <c r="A124" t="str">
        <v>Chablis premier cru</v>
      </c>
    </row>
    <row r="125" spans="1:1" x14ac:dyDescent="0.35">
      <c r="A125" t="str">
        <v>Fitou</v>
      </c>
    </row>
    <row r="126" spans="1:1" x14ac:dyDescent="0.35">
      <c r="A126" t="str">
        <v>Côtes de Provence Sainte-Victoire</v>
      </c>
    </row>
    <row r="127" spans="1:1" x14ac:dyDescent="0.35">
      <c r="A127" t="str">
        <v>Pic Saint-Loup</v>
      </c>
    </row>
    <row r="128" spans="1:1" x14ac:dyDescent="0.35">
      <c r="A128" t="str">
        <v>Beaujolais Odenas</v>
      </c>
    </row>
    <row r="129" spans="1:1" x14ac:dyDescent="0.35">
      <c r="A129" t="str">
        <v>Banyuls grand cru</v>
      </c>
    </row>
    <row r="130" spans="1:1" x14ac:dyDescent="0.35">
      <c r="A130" t="str">
        <v>Arbois Pupillin</v>
      </c>
    </row>
    <row r="131" spans="1:1" x14ac:dyDescent="0.35">
      <c r="A131" t="str">
        <v>Languedoc Quatourze</v>
      </c>
    </row>
    <row r="132" spans="1:1" x14ac:dyDescent="0.35">
      <c r="A132" t="str">
        <v>Bourgogne Chitry</v>
      </c>
    </row>
    <row r="133" spans="1:1" x14ac:dyDescent="0.35">
      <c r="A133" t="str">
        <v>Gigondas</v>
      </c>
    </row>
    <row r="134" spans="1:1" x14ac:dyDescent="0.35">
      <c r="A134" t="str">
        <v>Bourgogne Hautes Côtes de Nuits</v>
      </c>
    </row>
    <row r="135" spans="1:1" x14ac:dyDescent="0.35">
      <c r="A135" t="str">
        <v>Vin de Savoie ou Savoie</v>
      </c>
    </row>
    <row r="136" spans="1:1" x14ac:dyDescent="0.35">
      <c r="A136" t="str">
        <v>Petit Chablis</v>
      </c>
    </row>
    <row r="137" spans="1:1" x14ac:dyDescent="0.35">
      <c r="A137" t="str">
        <v>Corbières-Boutenac</v>
      </c>
    </row>
    <row r="138" spans="1:1" x14ac:dyDescent="0.35">
      <c r="A138" t="str">
        <v>Bourgogne Côte Chalonnaise</v>
      </c>
    </row>
    <row r="139" spans="1:1" x14ac:dyDescent="0.35">
      <c r="A139" t="str">
        <v>Côtes du Roussillon Villages Les Aspres</v>
      </c>
    </row>
    <row r="140" spans="1:1" x14ac:dyDescent="0.35">
      <c r="A140" t="str">
        <v>Cabernet d'Anjou</v>
      </c>
    </row>
    <row r="141" spans="1:1" x14ac:dyDescent="0.35">
      <c r="A141" t="str">
        <v>Bourgogne Côtes d'Auxerre</v>
      </c>
    </row>
    <row r="142" spans="1:1" x14ac:dyDescent="0.35">
      <c r="A142" t="str">
        <v>Bourgogne aligoté</v>
      </c>
    </row>
    <row r="143" spans="1:1" x14ac:dyDescent="0.35">
      <c r="A143" t="str">
        <v>Pouilly-sur-Loire</v>
      </c>
    </row>
    <row r="144" spans="1:1" x14ac:dyDescent="0.35">
      <c r="A144" t="str">
        <v>Côtes du Rhône Villages Sainte-Cécile</v>
      </c>
    </row>
    <row r="145" spans="1:1" x14ac:dyDescent="0.35">
      <c r="A145" t="str">
        <v>Cour-Cheverny</v>
      </c>
    </row>
    <row r="146" spans="1:1" x14ac:dyDescent="0.35">
      <c r="A146" t="str">
        <v>Beaujolais Villages</v>
      </c>
    </row>
    <row r="147" spans="1:1" x14ac:dyDescent="0.35">
      <c r="A147" t="str">
        <v>Anjou Villages</v>
      </c>
    </row>
    <row r="148" spans="1:1" x14ac:dyDescent="0.35">
      <c r="A148" t="str">
        <v>Languedoc Saint-Georges-d'Orques</v>
      </c>
    </row>
    <row r="149" spans="1:1" x14ac:dyDescent="0.35">
      <c r="A149" t="str">
        <v>Bourgogne Côtes du Couchois</v>
      </c>
    </row>
    <row r="150" spans="1:1" x14ac:dyDescent="0.35">
      <c r="A150" t="str">
        <v>Languedoc Saint-Saturnin</v>
      </c>
    </row>
    <row r="151" spans="1:1" x14ac:dyDescent="0.35">
      <c r="A151" t="str">
        <v>Muscadet</v>
      </c>
    </row>
    <row r="152" spans="1:1" x14ac:dyDescent="0.35">
      <c r="A152" t="str">
        <v>Rosé de Loire</v>
      </c>
    </row>
    <row r="153" spans="1:1" x14ac:dyDescent="0.35">
      <c r="A153" t="str">
        <v>Languedoc La Méjanelle</v>
      </c>
    </row>
    <row r="154" spans="1:1" x14ac:dyDescent="0.35">
      <c r="A154" t="str">
        <v>Vin de Savoie Chignin-Bergeron</v>
      </c>
    </row>
    <row r="155" spans="1:1" x14ac:dyDescent="0.35">
      <c r="A155" t="str">
        <v>Bourgogne Hautes Côtes de Beaune</v>
      </c>
    </row>
    <row r="156" spans="1:1" x14ac:dyDescent="0.35">
      <c r="A156" t="str">
        <v>Montlouis-sur-Loire</v>
      </c>
    </row>
    <row r="157" spans="1:1" x14ac:dyDescent="0.35">
      <c r="A157" t="str">
        <v>Clairette du Languedoc Lieuran-Cabrières</v>
      </c>
    </row>
    <row r="158" spans="1:1" x14ac:dyDescent="0.35">
      <c r="A158" t="str">
        <v>Beaujolais Saint-Etienne-des-Oullières</v>
      </c>
    </row>
    <row r="159" spans="1:1" x14ac:dyDescent="0.35">
      <c r="A159" t="str">
        <v>Crémant d’Alsace</v>
      </c>
    </row>
    <row r="160" spans="1:1" x14ac:dyDescent="0.35">
      <c r="A160" t="str">
        <v>Orléans-Cléry</v>
      </c>
    </row>
    <row r="161" spans="1:1" x14ac:dyDescent="0.35">
      <c r="A161" t="str">
        <v>Languedoc Grès de Montpellier</v>
      </c>
    </row>
    <row r="162" spans="1:1" x14ac:dyDescent="0.35">
      <c r="A162" t="str">
        <v>Clairette du Languedoc Le Bosc</v>
      </c>
    </row>
    <row r="163" spans="1:1" x14ac:dyDescent="0.35">
      <c r="A163" t="str">
        <v>Beaujolais Quincié-en-Beaujolais</v>
      </c>
    </row>
    <row r="164" spans="1:1" x14ac:dyDescent="0.35">
      <c r="A164" t="str">
        <v>Languedoc Montpeyroux</v>
      </c>
    </row>
    <row r="165" spans="1:1" x14ac:dyDescent="0.35">
      <c r="A165" t="str">
        <v>Clairette du Languedoc Aspiran</v>
      </c>
    </row>
    <row r="166" spans="1:1" x14ac:dyDescent="0.35">
      <c r="A166" t="str">
        <v>Saint-Joseph</v>
      </c>
    </row>
    <row r="167" spans="1:1" x14ac:dyDescent="0.35">
      <c r="A167" t="str">
        <v>Beaujolais Beaujeu</v>
      </c>
    </row>
    <row r="168" spans="1:1" x14ac:dyDescent="0.35">
      <c r="A168" t="str">
        <v>Clairette du Languedoc Péret</v>
      </c>
    </row>
    <row r="169" spans="1:1" x14ac:dyDescent="0.35">
      <c r="A169" t="str">
        <v>Alsace grand cru Mambourg</v>
      </c>
    </row>
    <row r="170" spans="1:1" x14ac:dyDescent="0.35">
      <c r="A170" t="str">
        <v>Jurançon</v>
      </c>
    </row>
    <row r="171" spans="1:1" x14ac:dyDescent="0.35">
      <c r="A171" t="str">
        <v>Beaujolais Lantignié</v>
      </c>
    </row>
    <row r="172" spans="1:1" x14ac:dyDescent="0.35">
      <c r="A172" t="str">
        <v>Roussette de Savoie Frangy</v>
      </c>
    </row>
    <row r="173" spans="1:1" x14ac:dyDescent="0.35">
      <c r="A173" t="str">
        <v>Terrasses du Larzac</v>
      </c>
    </row>
    <row r="174" spans="1:1" x14ac:dyDescent="0.35">
      <c r="A174" t="str">
        <v>Beaujolais La Chapelle-de-Guinchay</v>
      </c>
    </row>
    <row r="175" spans="1:1" x14ac:dyDescent="0.35">
      <c r="A175" t="str">
        <v>Picpoul de Pinet</v>
      </c>
    </row>
    <row r="176" spans="1:1" x14ac:dyDescent="0.35">
      <c r="A176" t="str">
        <v>Beaujolais Vaux-en-Beaujolais</v>
      </c>
    </row>
    <row r="177" spans="1:1" x14ac:dyDescent="0.35">
      <c r="A177" t="str">
        <v>Beaujolais Saint-Lager</v>
      </c>
    </row>
    <row r="178" spans="1:1" x14ac:dyDescent="0.35">
      <c r="A178" t="str">
        <v>Bourgogne Côte d'Or</v>
      </c>
    </row>
    <row r="179" spans="1:1" x14ac:dyDescent="0.35">
      <c r="A179" t="str">
        <v>Gaillac premières côtes</v>
      </c>
    </row>
    <row r="180" spans="1:1" x14ac:dyDescent="0.35">
      <c r="A180" t="str">
        <v>Bugey Cerdon</v>
      </c>
    </row>
    <row r="181" spans="1:1" x14ac:dyDescent="0.35">
      <c r="A181" t="str">
        <v>Bourgogne Epineuil</v>
      </c>
    </row>
    <row r="182" spans="1:1" x14ac:dyDescent="0.35">
      <c r="A182" t="str">
        <v>Alsace grand cru Schlossberg</v>
      </c>
    </row>
    <row r="183" spans="1:1" x14ac:dyDescent="0.35">
      <c r="A183" t="str">
        <v>Vin de Savoie Apremont</v>
      </c>
    </row>
    <row r="184" spans="1:1" x14ac:dyDescent="0.35">
      <c r="A184" t="str">
        <v>Tavel</v>
      </c>
    </row>
    <row r="185" spans="1:1" x14ac:dyDescent="0.35">
      <c r="A185" cm="1">
        <f t="array" ref="A185:A254">_xlfn.UNIQUE(map_appelations!$C$2:$C$5001)</f>
        <v>0</v>
      </c>
    </row>
    <row r="186" spans="1:1" x14ac:dyDescent="0.35">
      <c r="A186" t="str">
        <v>Crémant de Bordeaux</v>
      </c>
    </row>
    <row r="187" spans="1:1" x14ac:dyDescent="0.35">
      <c r="A187" t="str">
        <v>Monbazillac</v>
      </c>
    </row>
    <row r="188" spans="1:1" x14ac:dyDescent="0.35">
      <c r="A188" t="str">
        <v>Languedoc</v>
      </c>
    </row>
    <row r="189" spans="1:1" x14ac:dyDescent="0.35">
      <c r="A189" t="str">
        <v>Rivesaltes</v>
      </c>
    </row>
    <row r="190" spans="1:1" x14ac:dyDescent="0.35">
      <c r="A190" t="str">
        <v>Bordeaux supérieur</v>
      </c>
    </row>
    <row r="191" spans="1:1" x14ac:dyDescent="0.35">
      <c r="A191" t="str">
        <v>Cadillac</v>
      </c>
    </row>
    <row r="192" spans="1:1" x14ac:dyDescent="0.35">
      <c r="A192" t="str">
        <v>Côtes du Rhône Villages Saint-Maurice</v>
      </c>
    </row>
    <row r="193" spans="1:1" x14ac:dyDescent="0.35">
      <c r="A193" t="str">
        <v>Côtes du Roussillon Villages Caramany</v>
      </c>
    </row>
    <row r="194" spans="1:1" x14ac:dyDescent="0.35">
      <c r="A194" t="str">
        <v>Rosette</v>
      </c>
    </row>
    <row r="195" spans="1:1" x14ac:dyDescent="0.35">
      <c r="A195" t="str">
        <v>Crémant d’Alsace</v>
      </c>
    </row>
    <row r="196" spans="1:1" x14ac:dyDescent="0.35">
      <c r="A196" t="str">
        <v>Saussignac</v>
      </c>
    </row>
    <row r="197" spans="1:1" x14ac:dyDescent="0.35">
      <c r="A197" t="str">
        <v>Crémant de Die</v>
      </c>
    </row>
    <row r="198" spans="1:1" x14ac:dyDescent="0.35">
      <c r="A198" t="str">
        <v>Grand Roussillon</v>
      </c>
    </row>
    <row r="199" spans="1:1" x14ac:dyDescent="0.35">
      <c r="A199" t="str">
        <v>Côtes du Rhône Villages Saint-Gervais</v>
      </c>
    </row>
    <row r="200" spans="1:1" x14ac:dyDescent="0.35">
      <c r="A200" t="str">
        <v>Côtes du Rhône Villages Signargues</v>
      </c>
    </row>
    <row r="201" spans="1:1" x14ac:dyDescent="0.35">
      <c r="A201" t="str">
        <v>Petit Chablis</v>
      </c>
    </row>
    <row r="202" spans="1:1" x14ac:dyDescent="0.35">
      <c r="A202" t="str">
        <v>Côtes du Rhône Villages Laudun</v>
      </c>
    </row>
    <row r="203" spans="1:1" x14ac:dyDescent="0.35">
      <c r="A203" t="str">
        <v>Côtes du Rhône Villages Valréas</v>
      </c>
    </row>
    <row r="204" spans="1:1" x14ac:dyDescent="0.35">
      <c r="A204" t="str">
        <v>Pécharmant</v>
      </c>
    </row>
    <row r="205" spans="1:1" x14ac:dyDescent="0.35">
      <c r="A205" t="str">
        <v>Côtes du Rhône Villages Plan de Dieu</v>
      </c>
    </row>
    <row r="206" spans="1:1" x14ac:dyDescent="0.35">
      <c r="A206" t="str">
        <v>Vin de Corse ou Corse</v>
      </c>
    </row>
    <row r="207" spans="1:1" x14ac:dyDescent="0.35">
      <c r="A207" t="str">
        <v>Bourgogne aligoté</v>
      </c>
    </row>
    <row r="208" spans="1:1" x14ac:dyDescent="0.35">
      <c r="A208" t="str">
        <v>Canon Fronsac</v>
      </c>
    </row>
    <row r="209" spans="1:1" x14ac:dyDescent="0.35">
      <c r="A209" t="str">
        <v>Vinsobres</v>
      </c>
    </row>
    <row r="210" spans="1:1" x14ac:dyDescent="0.35">
      <c r="A210" t="str">
        <v>Coteaux de Die</v>
      </c>
    </row>
    <row r="211" spans="1:1" x14ac:dyDescent="0.35">
      <c r="A211" t="str">
        <v>Macvin du Jura</v>
      </c>
    </row>
    <row r="212" spans="1:1" x14ac:dyDescent="0.35">
      <c r="A212" t="str">
        <v>Pacherenc du Vic-Bilh</v>
      </c>
    </row>
    <row r="213" spans="1:1" x14ac:dyDescent="0.35">
      <c r="A213" t="str">
        <v>Côtes du Roussillon Villages Tautavel</v>
      </c>
    </row>
    <row r="214" spans="1:1" x14ac:dyDescent="0.35">
      <c r="A214" t="str">
        <v>Beaujolais Villages</v>
      </c>
    </row>
    <row r="215" spans="1:1" x14ac:dyDescent="0.35">
      <c r="A215" t="str">
        <v>Rosé de Loire</v>
      </c>
    </row>
    <row r="216" spans="1:1" x14ac:dyDescent="0.35">
      <c r="A216" t="str">
        <v>Côtes du Rhône Villages Séguret</v>
      </c>
    </row>
    <row r="217" spans="1:1" x14ac:dyDescent="0.35">
      <c r="A217" t="str">
        <v>Côtes de Montravel</v>
      </c>
    </row>
    <row r="218" spans="1:1" x14ac:dyDescent="0.35">
      <c r="A218" t="str">
        <v>Côtes du Jura</v>
      </c>
    </row>
    <row r="219" spans="1:1" x14ac:dyDescent="0.35">
      <c r="A219" t="str">
        <v>Crémant de Bourgogne</v>
      </c>
    </row>
    <row r="220" spans="1:1" x14ac:dyDescent="0.35">
      <c r="A220" t="str">
        <v>Rasteau Vin Doux Naturel</v>
      </c>
    </row>
    <row r="221" spans="1:1" x14ac:dyDescent="0.35">
      <c r="A221" t="str">
        <v>Côtes du Rhône Villages Saint-Pantaléon-les-Vignes</v>
      </c>
    </row>
    <row r="222" spans="1:1" x14ac:dyDescent="0.35">
      <c r="A222" t="str">
        <v>Collioure</v>
      </c>
    </row>
    <row r="223" spans="1:1" x14ac:dyDescent="0.35">
      <c r="A223" t="str">
        <v>Côtes du Rhône Villages Sablet</v>
      </c>
    </row>
    <row r="224" spans="1:1" x14ac:dyDescent="0.35">
      <c r="A224" t="str">
        <v>Côtes du Rhône Villages Rochegude</v>
      </c>
    </row>
    <row r="225" spans="1:1" x14ac:dyDescent="0.35">
      <c r="A225" t="str">
        <v>Crémant du Jura</v>
      </c>
    </row>
    <row r="226" spans="1:1" x14ac:dyDescent="0.35">
      <c r="A226" t="str">
        <v>Bourgogne Passe-tout-grains</v>
      </c>
    </row>
    <row r="227" spans="1:1" x14ac:dyDescent="0.35">
      <c r="A227" t="str">
        <v>Côtes du Rhône Villages Chusclan</v>
      </c>
    </row>
    <row r="228" spans="1:1" x14ac:dyDescent="0.35">
      <c r="A228" t="str">
        <v>Côtes du Rhône Villages</v>
      </c>
    </row>
    <row r="229" spans="1:1" x14ac:dyDescent="0.35">
      <c r="A229" t="str">
        <v>Côtes du Rhône Villages Massif d'Uchaux</v>
      </c>
    </row>
    <row r="230" spans="1:1" x14ac:dyDescent="0.35">
      <c r="A230" t="str">
        <v>Côtes du Rhône Villages Suze-la-Rousse</v>
      </c>
    </row>
    <row r="231" spans="1:1" x14ac:dyDescent="0.35">
      <c r="A231" t="str">
        <v>Crémant de Loire</v>
      </c>
    </row>
    <row r="232" spans="1:1" x14ac:dyDescent="0.35">
      <c r="A232" t="str">
        <v>Bourgogne mousseux</v>
      </c>
    </row>
    <row r="233" spans="1:1" x14ac:dyDescent="0.35">
      <c r="A233" t="str">
        <v>Muscat de Beaumes-de-Venise</v>
      </c>
    </row>
    <row r="234" spans="1:1" x14ac:dyDescent="0.35">
      <c r="A234" t="str">
        <v>Saint-Chinian Roquebrun</v>
      </c>
    </row>
    <row r="235" spans="1:1" x14ac:dyDescent="0.35">
      <c r="A235" t="str">
        <v>Rasteau</v>
      </c>
    </row>
    <row r="236" spans="1:1" x14ac:dyDescent="0.35">
      <c r="A236" t="str">
        <v>Cabernet d'Anjou</v>
      </c>
    </row>
    <row r="237" spans="1:1" x14ac:dyDescent="0.35">
      <c r="A237" t="str">
        <v>Muscadet Sèvre et Maine</v>
      </c>
    </row>
    <row r="238" spans="1:1" x14ac:dyDescent="0.35">
      <c r="A238" t="str">
        <v>Saint-Chinian Berlou</v>
      </c>
    </row>
    <row r="239" spans="1:1" x14ac:dyDescent="0.35">
      <c r="A239" t="str">
        <v>Touraine</v>
      </c>
    </row>
    <row r="240" spans="1:1" x14ac:dyDescent="0.35">
      <c r="A240" t="str">
        <v>Côtes du Rhône Villages Rousset-les-Vignes</v>
      </c>
    </row>
    <row r="241" spans="1:1" x14ac:dyDescent="0.35">
      <c r="A241" t="str">
        <v>Vin de Savoie Montmélian</v>
      </c>
    </row>
    <row r="242" spans="1:1" x14ac:dyDescent="0.35">
      <c r="A242" t="str">
        <v>Terrasses du Larzac</v>
      </c>
    </row>
    <row r="243" spans="1:1" x14ac:dyDescent="0.35">
      <c r="A243" t="str">
        <v>Côtes du Roussillon Villages Lesquerde</v>
      </c>
    </row>
    <row r="244" spans="1:1" x14ac:dyDescent="0.35">
      <c r="A244" t="str">
        <v>Minervois-La Livinière</v>
      </c>
    </row>
    <row r="245" spans="1:1" x14ac:dyDescent="0.35">
      <c r="A245" t="str">
        <v>Côtes du Rhône Villages Roaix</v>
      </c>
    </row>
    <row r="246" spans="1:1" x14ac:dyDescent="0.35">
      <c r="A246" t="str">
        <v>Montravel</v>
      </c>
    </row>
    <row r="247" spans="1:1" x14ac:dyDescent="0.35">
      <c r="A247" t="str">
        <v>Vin de Savoie Ripaille</v>
      </c>
    </row>
    <row r="248" spans="1:1" x14ac:dyDescent="0.35">
      <c r="A248" t="str">
        <v>Coteaux de Saumur</v>
      </c>
    </row>
    <row r="249" spans="1:1" x14ac:dyDescent="0.35">
      <c r="A249" t="str">
        <v>Coteaux Bourguignons ou Bourgogne grand ordinaire ou Bourgogne ordinaire</v>
      </c>
    </row>
    <row r="250" spans="1:1" x14ac:dyDescent="0.35">
      <c r="A250" t="str">
        <v>Roussette du Bugey</v>
      </c>
    </row>
    <row r="251" spans="1:1" x14ac:dyDescent="0.35">
      <c r="A251" t="str">
        <v>Côtes du Rhône Villages Saint-Andéol</v>
      </c>
    </row>
    <row r="252" spans="1:1" x14ac:dyDescent="0.35">
      <c r="A252" t="str">
        <v>Vin de Savoie ou Savoie</v>
      </c>
    </row>
    <row r="253" spans="1:1" x14ac:dyDescent="0.35">
      <c r="A253" t="str">
        <v>Côtes du Rhône Villages Gadagne</v>
      </c>
    </row>
    <row r="254" spans="1:1" x14ac:dyDescent="0.35">
      <c r="A254" t="str">
        <v>Chablis premier cru Vaucoupin</v>
      </c>
    </row>
    <row r="255" spans="1:1" x14ac:dyDescent="0.35">
      <c r="A255" cm="1">
        <f t="array" ref="A255:A301">_xlfn.UNIQUE(map_appelations!$D$2:$D$5001)</f>
        <v>0</v>
      </c>
    </row>
    <row r="256" spans="1:1" x14ac:dyDescent="0.35">
      <c r="A256" t="str">
        <v>Saint-Emilion</v>
      </c>
    </row>
    <row r="257" spans="1:1" x14ac:dyDescent="0.35">
      <c r="A257" t="str">
        <v>Montagne-Saint-Emilion</v>
      </c>
    </row>
    <row r="258" spans="1:1" x14ac:dyDescent="0.35">
      <c r="A258" t="str">
        <v>Lussac-Saint-Emilion</v>
      </c>
    </row>
    <row r="259" spans="1:1" x14ac:dyDescent="0.35">
      <c r="A259" t="str">
        <v>Haut-Médoc</v>
      </c>
    </row>
    <row r="260" spans="1:1" x14ac:dyDescent="0.35">
      <c r="A260" t="str">
        <v>Entre-deux-Mers</v>
      </c>
    </row>
    <row r="261" spans="1:1" x14ac:dyDescent="0.35">
      <c r="A261" t="str">
        <v>Médoc</v>
      </c>
    </row>
    <row r="262" spans="1:1" x14ac:dyDescent="0.35">
      <c r="A262" t="str">
        <v>Crémant de Bordeaux</v>
      </c>
    </row>
    <row r="263" spans="1:1" x14ac:dyDescent="0.35">
      <c r="A263" t="str">
        <v>Graves</v>
      </c>
    </row>
    <row r="264" spans="1:1" x14ac:dyDescent="0.35">
      <c r="A264" t="str">
        <v>Côtes de Bourg</v>
      </c>
    </row>
    <row r="265" spans="1:1" x14ac:dyDescent="0.35">
      <c r="A265" t="str">
        <v>Côtes de Bordeaux</v>
      </c>
    </row>
    <row r="266" spans="1:1" x14ac:dyDescent="0.35">
      <c r="A266" t="str">
        <v>Lalande-de-Pomerol</v>
      </c>
    </row>
    <row r="267" spans="1:1" x14ac:dyDescent="0.35">
      <c r="A267" t="str">
        <v>Cérons</v>
      </c>
    </row>
    <row r="268" spans="1:1" x14ac:dyDescent="0.35">
      <c r="A268" t="str">
        <v>Pomerol</v>
      </c>
    </row>
    <row r="269" spans="1:1" x14ac:dyDescent="0.35">
      <c r="A269" t="str">
        <v>Languedoc</v>
      </c>
    </row>
    <row r="270" spans="1:1" x14ac:dyDescent="0.35">
      <c r="A270" t="str">
        <v>Côtes de Bordeaux-Saint-Macaire</v>
      </c>
    </row>
    <row r="271" spans="1:1" x14ac:dyDescent="0.35">
      <c r="A271" t="str">
        <v>Sauternes</v>
      </c>
    </row>
    <row r="272" spans="1:1" x14ac:dyDescent="0.35">
      <c r="A272" t="str">
        <v>Graves de Vayres</v>
      </c>
    </row>
    <row r="273" spans="1:1" x14ac:dyDescent="0.35">
      <c r="A273" t="str">
        <v>Muscat de Rivesaltes</v>
      </c>
    </row>
    <row r="274" spans="1:1" x14ac:dyDescent="0.35">
      <c r="A274" t="str">
        <v>Fronsac</v>
      </c>
    </row>
    <row r="275" spans="1:1" x14ac:dyDescent="0.35">
      <c r="A275" t="str">
        <v>Puisseguin-Saint-Emilion</v>
      </c>
    </row>
    <row r="276" spans="1:1" x14ac:dyDescent="0.35">
      <c r="A276" t="str">
        <v>Bourgogne mousseux</v>
      </c>
    </row>
    <row r="277" spans="1:1" x14ac:dyDescent="0.35">
      <c r="A277" t="str">
        <v>Crémant de Die</v>
      </c>
    </row>
    <row r="278" spans="1:1" x14ac:dyDescent="0.35">
      <c r="A278" t="str">
        <v>Grand Roussillon</v>
      </c>
    </row>
    <row r="279" spans="1:1" x14ac:dyDescent="0.35">
      <c r="A279" t="str">
        <v>Rosette</v>
      </c>
    </row>
    <row r="280" spans="1:1" x14ac:dyDescent="0.35">
      <c r="A280" t="str">
        <v>Crémant de Bourgogne</v>
      </c>
    </row>
    <row r="281" spans="1:1" x14ac:dyDescent="0.35">
      <c r="A281" t="str">
        <v>Touraine</v>
      </c>
    </row>
    <row r="282" spans="1:1" x14ac:dyDescent="0.35">
      <c r="A282" t="str">
        <v>Haut-Montravel</v>
      </c>
    </row>
    <row r="283" spans="1:1" x14ac:dyDescent="0.35">
      <c r="A283" t="str">
        <v>Macvin du Jura</v>
      </c>
    </row>
    <row r="284" spans="1:1" x14ac:dyDescent="0.35">
      <c r="A284" t="str">
        <v>Petit Chablis</v>
      </c>
    </row>
    <row r="285" spans="1:1" x14ac:dyDescent="0.35">
      <c r="A285" t="str">
        <v>Brouilly</v>
      </c>
    </row>
    <row r="286" spans="1:1" x14ac:dyDescent="0.35">
      <c r="A286" t="str">
        <v>Côtes du Jura</v>
      </c>
    </row>
    <row r="287" spans="1:1" x14ac:dyDescent="0.35">
      <c r="A287" t="str">
        <v>Bourgogne aligoté</v>
      </c>
    </row>
    <row r="288" spans="1:1" x14ac:dyDescent="0.35">
      <c r="A288" t="str">
        <v>Muscat de Beaumes-de-Venise</v>
      </c>
    </row>
    <row r="289" spans="1:1" x14ac:dyDescent="0.35">
      <c r="A289" t="str">
        <v>Rosé d'Anjou</v>
      </c>
    </row>
    <row r="290" spans="1:1" x14ac:dyDescent="0.35">
      <c r="A290" t="str">
        <v>Coteaux Bourguignons ou Bourgogne grand ordinaire ou Bourgogne ordinaire</v>
      </c>
    </row>
    <row r="291" spans="1:1" x14ac:dyDescent="0.35">
      <c r="A291" t="str">
        <v>Rasteau Vin Doux Naturel</v>
      </c>
    </row>
    <row r="292" spans="1:1" x14ac:dyDescent="0.35">
      <c r="A292" t="str">
        <v>Coteaux du Layon</v>
      </c>
    </row>
    <row r="293" spans="1:1" x14ac:dyDescent="0.35">
      <c r="A293" t="str">
        <v>Touraine Chenonceaux</v>
      </c>
    </row>
    <row r="294" spans="1:1" x14ac:dyDescent="0.35">
      <c r="A294" t="str">
        <v>Crémant de Loire</v>
      </c>
    </row>
    <row r="295" spans="1:1" x14ac:dyDescent="0.35">
      <c r="A295" t="str">
        <v>Touraine Azay-le-Rideau</v>
      </c>
    </row>
    <row r="296" spans="1:1" x14ac:dyDescent="0.35">
      <c r="A296" t="str">
        <v>Vin de Savoie ou Savoie</v>
      </c>
    </row>
    <row r="297" spans="1:1" x14ac:dyDescent="0.35">
      <c r="A297" t="str">
        <v>Languedoc Cabrières</v>
      </c>
    </row>
    <row r="298" spans="1:1" x14ac:dyDescent="0.35">
      <c r="A298" t="str">
        <v>Saint-Nicolas-de-Bourgueil</v>
      </c>
    </row>
    <row r="299" spans="1:1" x14ac:dyDescent="0.35">
      <c r="A299" t="str">
        <v>Vouvray</v>
      </c>
    </row>
    <row r="300" spans="1:1" x14ac:dyDescent="0.35">
      <c r="A300" t="str">
        <v>Morgon</v>
      </c>
    </row>
    <row r="301" spans="1:1" x14ac:dyDescent="0.35">
      <c r="A301" t="str">
        <v>Bourgogne Tonnerre</v>
      </c>
    </row>
    <row r="302" spans="1:1" x14ac:dyDescent="0.35">
      <c r="A302" cm="1">
        <f t="array" ref="A302:A338">_xlfn.UNIQUE(map_appelations!$E$2:$E$5001)</f>
        <v>0</v>
      </c>
    </row>
    <row r="303" spans="1:1" x14ac:dyDescent="0.35">
      <c r="A303" t="str">
        <v>Saint-Emilion grand cru</v>
      </c>
    </row>
    <row r="304" spans="1:1" x14ac:dyDescent="0.35">
      <c r="A304" t="str">
        <v>Médoc</v>
      </c>
    </row>
    <row r="305" spans="1:1" x14ac:dyDescent="0.35">
      <c r="A305" t="str">
        <v>Entre-deux-Mers</v>
      </c>
    </row>
    <row r="306" spans="1:1" x14ac:dyDescent="0.35">
      <c r="A306" t="str">
        <v>Graves supérieures</v>
      </c>
    </row>
    <row r="307" spans="1:1" x14ac:dyDescent="0.35">
      <c r="A307" t="str">
        <v xml:space="preserve"> Bourg et Bourgeais</v>
      </c>
    </row>
    <row r="308" spans="1:1" x14ac:dyDescent="0.35">
      <c r="A308" t="str">
        <v>Côtes de Bordeaux Castillon</v>
      </c>
    </row>
    <row r="309" spans="1:1" x14ac:dyDescent="0.35">
      <c r="A309" t="str">
        <v>Sauternes</v>
      </c>
    </row>
    <row r="310" spans="1:1" x14ac:dyDescent="0.35">
      <c r="A310" t="str">
        <v>Côtes de Bordeaux</v>
      </c>
    </row>
    <row r="311" spans="1:1" x14ac:dyDescent="0.35">
      <c r="A311" t="str">
        <v>Côtes de Bordeaux Cadillac</v>
      </c>
    </row>
    <row r="312" spans="1:1" x14ac:dyDescent="0.35">
      <c r="A312" t="str">
        <v>Graves</v>
      </c>
    </row>
    <row r="313" spans="1:1" x14ac:dyDescent="0.35">
      <c r="A313" t="str">
        <v>Côtes de Blaye</v>
      </c>
    </row>
    <row r="314" spans="1:1" x14ac:dyDescent="0.35">
      <c r="A314" t="str">
        <v>Listrac-Médoc</v>
      </c>
    </row>
    <row r="315" spans="1:1" x14ac:dyDescent="0.35">
      <c r="A315" t="str">
        <v>Rivesaltes</v>
      </c>
    </row>
    <row r="316" spans="1:1" x14ac:dyDescent="0.35">
      <c r="A316" t="str">
        <v>Moulis ou Moulis-en-Médoc</v>
      </c>
    </row>
    <row r="317" spans="1:1" x14ac:dyDescent="0.35">
      <c r="A317" t="str">
        <v>Muscat de Rivesaltes</v>
      </c>
    </row>
    <row r="318" spans="1:1" x14ac:dyDescent="0.35">
      <c r="A318" t="str">
        <v>Côtes de Bordeaux Francs</v>
      </c>
    </row>
    <row r="319" spans="1:1" x14ac:dyDescent="0.35">
      <c r="A319" t="str">
        <v>Margaux</v>
      </c>
    </row>
    <row r="320" spans="1:1" x14ac:dyDescent="0.35">
      <c r="A320" t="str">
        <v>Saint-Georges-Saint-Emilion</v>
      </c>
    </row>
    <row r="321" spans="1:1" x14ac:dyDescent="0.35">
      <c r="A321" t="str">
        <v>Maury</v>
      </c>
    </row>
    <row r="322" spans="1:1" x14ac:dyDescent="0.35">
      <c r="A322" t="str">
        <v>Coteaux Bourguignons ou Bourgogne grand ordinaire ou Bourgogne ordinaire</v>
      </c>
    </row>
    <row r="323" spans="1:1" x14ac:dyDescent="0.35">
      <c r="A323" t="str">
        <v>Fronsac</v>
      </c>
    </row>
    <row r="324" spans="1:1" x14ac:dyDescent="0.35">
      <c r="A324" t="str">
        <v>Languedoc</v>
      </c>
    </row>
    <row r="325" spans="1:1" x14ac:dyDescent="0.35">
      <c r="A325" t="str">
        <v>Montravel</v>
      </c>
    </row>
    <row r="326" spans="1:1" x14ac:dyDescent="0.35">
      <c r="A326" t="str">
        <v>Crémant de Bourgogne</v>
      </c>
    </row>
    <row r="327" spans="1:1" x14ac:dyDescent="0.35">
      <c r="A327" t="str">
        <v>Macvin du Jura</v>
      </c>
    </row>
    <row r="328" spans="1:1" x14ac:dyDescent="0.35">
      <c r="A328" t="str">
        <v>Bourgogne mousseux</v>
      </c>
    </row>
    <row r="329" spans="1:1" x14ac:dyDescent="0.35">
      <c r="A329" t="str">
        <v>Rosé de Loire</v>
      </c>
    </row>
    <row r="330" spans="1:1" x14ac:dyDescent="0.35">
      <c r="A330" t="str">
        <v>Coteaux du Layon Faye-d'Anjou ou Faye</v>
      </c>
    </row>
    <row r="331" spans="1:1" x14ac:dyDescent="0.35">
      <c r="A331" t="str">
        <v>Rosé d'Anjou</v>
      </c>
    </row>
    <row r="332" spans="1:1" x14ac:dyDescent="0.35">
      <c r="A332" t="str">
        <v>Touraine</v>
      </c>
    </row>
    <row r="333" spans="1:1" x14ac:dyDescent="0.35">
      <c r="A333" t="str">
        <v>Coteaux du Layon Beaulieu-sur-Layon ou Beaulieu</v>
      </c>
    </row>
    <row r="334" spans="1:1" x14ac:dyDescent="0.35">
      <c r="A334" t="str">
        <v>Côte de Brouilly</v>
      </c>
    </row>
    <row r="335" spans="1:1" x14ac:dyDescent="0.35">
      <c r="A335" t="str">
        <v>Bourgogne aligoté</v>
      </c>
    </row>
    <row r="336" spans="1:1" x14ac:dyDescent="0.35">
      <c r="A336" t="str">
        <v>Coteaux du Layon Saint-Aubin-de-Luigné ou Saint-Aubin</v>
      </c>
    </row>
    <row r="337" spans="1:1" x14ac:dyDescent="0.35">
      <c r="A337" t="str">
        <v>Coteaux du Layon Rochefort-sur-Loire ou Rochefort</v>
      </c>
    </row>
    <row r="338" spans="1:1" x14ac:dyDescent="0.35">
      <c r="A338" t="str">
        <v>Petit Chablis</v>
      </c>
    </row>
    <row r="339" spans="1:1" x14ac:dyDescent="0.35">
      <c r="A339" cm="1">
        <f t="array" ref="A339:A361">_xlfn.UNIQUE(map_appelations!$F$2:$F$5001)</f>
        <v>0</v>
      </c>
    </row>
    <row r="340" spans="1:1" x14ac:dyDescent="0.35">
      <c r="A340" t="str">
        <v>Saint-Estèphe</v>
      </c>
    </row>
    <row r="341" spans="1:1" x14ac:dyDescent="0.35">
      <c r="A341" t="str">
        <v>Saint-Julien</v>
      </c>
    </row>
    <row r="342" spans="1:1" x14ac:dyDescent="0.35">
      <c r="A342" t="str">
        <v>Entre-deux-Mers Haut-Benauge</v>
      </c>
    </row>
    <row r="343" spans="1:1" x14ac:dyDescent="0.35">
      <c r="A343" t="str">
        <v>Pauillac</v>
      </c>
    </row>
    <row r="344" spans="1:1" x14ac:dyDescent="0.35">
      <c r="A344" t="str">
        <v>Côtes de Bordeaux Cadillac</v>
      </c>
    </row>
    <row r="345" spans="1:1" x14ac:dyDescent="0.35">
      <c r="A345" t="str">
        <v>Premières Côtes de Bordeaux</v>
      </c>
    </row>
    <row r="346" spans="1:1" x14ac:dyDescent="0.35">
      <c r="A346" t="str">
        <v>Graves supérieures</v>
      </c>
    </row>
    <row r="347" spans="1:1" x14ac:dyDescent="0.35">
      <c r="A347" t="str">
        <v>Côtes de Bordeaux</v>
      </c>
    </row>
    <row r="348" spans="1:1" x14ac:dyDescent="0.35">
      <c r="A348" t="str">
        <v>Loupiac</v>
      </c>
    </row>
    <row r="349" spans="1:1" x14ac:dyDescent="0.35">
      <c r="A349" t="str">
        <v>Médoc</v>
      </c>
    </row>
    <row r="350" spans="1:1" x14ac:dyDescent="0.35">
      <c r="A350" t="str">
        <v>Pessac-Léognan</v>
      </c>
    </row>
    <row r="351" spans="1:1" x14ac:dyDescent="0.35">
      <c r="A351" t="str">
        <v>Rivesaltes</v>
      </c>
    </row>
    <row r="352" spans="1:1" x14ac:dyDescent="0.35">
      <c r="A352" t="str">
        <v>Muscat de Rivesaltes</v>
      </c>
    </row>
    <row r="353" spans="1:1" x14ac:dyDescent="0.35">
      <c r="A353" t="str">
        <v>Crémant de Bourgogne</v>
      </c>
    </row>
    <row r="354" spans="1:1" x14ac:dyDescent="0.35">
      <c r="A354" t="str">
        <v>Coteaux Bourguignons ou Bourgogne grand ordinaire ou Bourgogne ordinaire</v>
      </c>
    </row>
    <row r="355" spans="1:1" x14ac:dyDescent="0.35">
      <c r="A355" t="str">
        <v>Saumur</v>
      </c>
    </row>
    <row r="356" spans="1:1" x14ac:dyDescent="0.35">
      <c r="A356" t="str">
        <v>Crémant de Loire</v>
      </c>
    </row>
    <row r="357" spans="1:1" x14ac:dyDescent="0.35">
      <c r="A357" t="str">
        <v>Mâcon</v>
      </c>
    </row>
    <row r="358" spans="1:1" x14ac:dyDescent="0.35">
      <c r="A358" t="str">
        <v>Rosé de Loire</v>
      </c>
    </row>
    <row r="359" spans="1:1" x14ac:dyDescent="0.35">
      <c r="A359" t="str">
        <v>Clos de Vougeot ou Clos Vougeot</v>
      </c>
    </row>
    <row r="360" spans="1:1" x14ac:dyDescent="0.35">
      <c r="A360" t="str">
        <v>Bourgogne mousseux</v>
      </c>
    </row>
    <row r="361" spans="1:1" x14ac:dyDescent="0.35">
      <c r="A361" t="str">
        <v>Coteaux du Layon premier cru Chaume</v>
      </c>
    </row>
    <row r="362" spans="1:1" x14ac:dyDescent="0.35">
      <c r="A362" cm="1">
        <f t="array" ref="A362:A375">_xlfn.UNIQUE(map_appelations!$G$2:$G$5001)</f>
        <v>0</v>
      </c>
    </row>
    <row r="363" spans="1:1" x14ac:dyDescent="0.35">
      <c r="A363" t="str">
        <v>Premières Côtes de Bordeaux</v>
      </c>
    </row>
    <row r="364" spans="1:1" x14ac:dyDescent="0.35">
      <c r="A364" t="str">
        <v>Sainte-Croix-du-Mont</v>
      </c>
    </row>
    <row r="365" spans="1:1" x14ac:dyDescent="0.35">
      <c r="A365" t="str">
        <v>Côtes de Bordeaux Blaye</v>
      </c>
    </row>
    <row r="366" spans="1:1" x14ac:dyDescent="0.35">
      <c r="A366" t="str">
        <v>Rivesaltes</v>
      </c>
    </row>
    <row r="367" spans="1:1" x14ac:dyDescent="0.35">
      <c r="A367" t="str">
        <v>Mâcon</v>
      </c>
    </row>
    <row r="368" spans="1:1" x14ac:dyDescent="0.35">
      <c r="A368" t="str">
        <v>Crémant de Bourgogne</v>
      </c>
    </row>
    <row r="369" spans="1:1" x14ac:dyDescent="0.35">
      <c r="A369" t="str">
        <v>Rosé d'Anjou</v>
      </c>
    </row>
    <row r="370" spans="1:1" x14ac:dyDescent="0.35">
      <c r="A370" t="str">
        <v>Mâcon Serrières</v>
      </c>
    </row>
    <row r="371" spans="1:1" x14ac:dyDescent="0.35">
      <c r="A371" t="str">
        <v>Mâcon Mancey</v>
      </c>
    </row>
    <row r="372" spans="1:1" x14ac:dyDescent="0.35">
      <c r="A372" t="str">
        <v>Mâcon Saint-Gengoux-le-National</v>
      </c>
    </row>
    <row r="373" spans="1:1" x14ac:dyDescent="0.35">
      <c r="A373" t="str">
        <v>Saumur</v>
      </c>
    </row>
    <row r="374" spans="1:1" x14ac:dyDescent="0.35">
      <c r="A374" t="str">
        <v>Coteaux Bourguignons ou Bourgogne grand ordinaire ou Bourgogne ordinaire</v>
      </c>
    </row>
    <row r="375" spans="1:1" x14ac:dyDescent="0.35">
      <c r="A375" t="str">
        <v>Crémant de Loire</v>
      </c>
    </row>
    <row r="376" spans="1:1" x14ac:dyDescent="0.35">
      <c r="A376" cm="1">
        <f t="array" ref="A376:A394">_xlfn.UNIQUE(map_appelations!$H$2:$H$5001)</f>
        <v>0</v>
      </c>
    </row>
    <row r="377" spans="1:1" x14ac:dyDescent="0.35">
      <c r="A377" t="str">
        <v>Mâcon Verzé</v>
      </c>
    </row>
    <row r="378" spans="1:1" x14ac:dyDescent="0.35">
      <c r="A378" t="str">
        <v>Mâcon La Roche-Vineuse</v>
      </c>
    </row>
    <row r="379" spans="1:1" x14ac:dyDescent="0.35">
      <c r="A379" t="str">
        <v>Mâcon Azé</v>
      </c>
    </row>
    <row r="380" spans="1:1" x14ac:dyDescent="0.35">
      <c r="A380" t="str">
        <v>Mâcon Igé</v>
      </c>
    </row>
    <row r="381" spans="1:1" x14ac:dyDescent="0.35">
      <c r="A381" t="str">
        <v>Mercurey</v>
      </c>
    </row>
    <row r="382" spans="1:1" x14ac:dyDescent="0.35">
      <c r="A382" t="str">
        <v>Mâcon Lugny</v>
      </c>
    </row>
    <row r="383" spans="1:1" x14ac:dyDescent="0.35">
      <c r="A383" t="str">
        <v>Saint-Bris</v>
      </c>
    </row>
    <row r="384" spans="1:1" x14ac:dyDescent="0.35">
      <c r="A384" t="str">
        <v>Mâcon Bray</v>
      </c>
    </row>
    <row r="385" spans="1:1" x14ac:dyDescent="0.35">
      <c r="A385" t="str">
        <v>Rosé de Loire</v>
      </c>
    </row>
    <row r="386" spans="1:1" x14ac:dyDescent="0.35">
      <c r="A386" t="str">
        <v>Mâcon Saint-Gengoux-le-National</v>
      </c>
    </row>
    <row r="387" spans="1:1" x14ac:dyDescent="0.35">
      <c r="A387" t="str">
        <v>Mâcon Mancey</v>
      </c>
    </row>
    <row r="388" spans="1:1" x14ac:dyDescent="0.35">
      <c r="A388" t="str">
        <v>Mâcon Milly-Lamartine</v>
      </c>
    </row>
    <row r="389" spans="1:1" x14ac:dyDescent="0.35">
      <c r="A389" t="str">
        <v>Rully</v>
      </c>
    </row>
    <row r="390" spans="1:1" x14ac:dyDescent="0.35">
      <c r="A390" t="str">
        <v>Mâcon Péronne</v>
      </c>
    </row>
    <row r="391" spans="1:1" x14ac:dyDescent="0.35">
      <c r="A391" t="str">
        <v>Mâcon Chardonnay</v>
      </c>
    </row>
    <row r="392" spans="1:1" x14ac:dyDescent="0.35">
      <c r="A392" t="str">
        <v>Crémant de Bourgogne</v>
      </c>
    </row>
    <row r="393" spans="1:1" x14ac:dyDescent="0.35">
      <c r="A393" t="str">
        <v>Mâcon Villages</v>
      </c>
    </row>
    <row r="394" spans="1:1" x14ac:dyDescent="0.35">
      <c r="A394" t="str">
        <v>Rosé d'Anjou</v>
      </c>
    </row>
    <row r="395" spans="1:1" x14ac:dyDescent="0.35">
      <c r="A395" cm="1">
        <f t="array" ref="A395:A398">_xlfn.UNIQUE(map_appelations!$I$2:$I$5001)</f>
        <v>0</v>
      </c>
    </row>
    <row r="396" spans="1:1" x14ac:dyDescent="0.35">
      <c r="A396" t="str">
        <v>Mâcon Villages</v>
      </c>
    </row>
    <row r="397" spans="1:1" x14ac:dyDescent="0.35">
      <c r="A397" t="str">
        <v>Vougeot</v>
      </c>
    </row>
    <row r="398" spans="1:1" x14ac:dyDescent="0.35">
      <c r="A398" t="str">
        <v>Rosé de Loire</v>
      </c>
    </row>
    <row r="399" spans="1:1" x14ac:dyDescent="0.35">
      <c r="A399" cm="1">
        <f t="array" ref="A399:A400">_xlfn.UNIQUE(map_appelations!$J$2:$J$5001)</f>
        <v>0</v>
      </c>
    </row>
    <row r="400" spans="1:1" x14ac:dyDescent="0.35">
      <c r="A400" t="str">
        <v>Vougeot premier cru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91AC-5BB3-4872-9389-B152880B4A73}">
  <dimension ref="A1:A297"/>
  <sheetViews>
    <sheetView workbookViewId="0">
      <selection activeCell="C1" sqref="C1:C297"/>
    </sheetView>
  </sheetViews>
  <sheetFormatPr baseColWidth="10" defaultRowHeight="14.5" x14ac:dyDescent="0.35"/>
  <sheetData>
    <row r="1" spans="1:1" x14ac:dyDescent="0.35">
      <c r="A1" t="str" cm="1">
        <f t="array" ref="A1:A297">_xlfn.UNIQUE(Feuil1!A:A)</f>
        <v>Côtes du Rhône</v>
      </c>
    </row>
    <row r="2" spans="1:1" x14ac:dyDescent="0.35">
      <c r="A2" t="str">
        <v>Bordeaux</v>
      </c>
    </row>
    <row r="3" spans="1:1" x14ac:dyDescent="0.35">
      <c r="A3" t="str">
        <v>Bergerac</v>
      </c>
    </row>
    <row r="4" spans="1:1" x14ac:dyDescent="0.35">
      <c r="A4" t="str">
        <v>Buzet</v>
      </c>
    </row>
    <row r="5" spans="1:1" x14ac:dyDescent="0.35">
      <c r="A5" t="str">
        <v>Côtes du Roussillon</v>
      </c>
    </row>
    <row r="6" spans="1:1" x14ac:dyDescent="0.35">
      <c r="A6" t="str">
        <v>Grand Roussillon</v>
      </c>
    </row>
    <row r="7" spans="1:1" x14ac:dyDescent="0.35">
      <c r="A7" t="str">
        <v>Coteaux d'Aix-en-Provence</v>
      </c>
    </row>
    <row r="8" spans="1:1" x14ac:dyDescent="0.35">
      <c r="A8" t="str">
        <v>Côtes de Duras</v>
      </c>
    </row>
    <row r="9" spans="1:1" x14ac:dyDescent="0.35">
      <c r="A9" t="str">
        <v>Barsac</v>
      </c>
    </row>
    <row r="10" spans="1:1" x14ac:dyDescent="0.35">
      <c r="A10" t="str">
        <v>Ajaccio</v>
      </c>
    </row>
    <row r="11" spans="1:1" x14ac:dyDescent="0.35">
      <c r="A11" t="str">
        <v>Côtes du Marmandais</v>
      </c>
    </row>
    <row r="12" spans="1:1" x14ac:dyDescent="0.35">
      <c r="A12" t="str">
        <v>Bandol</v>
      </c>
    </row>
    <row r="13" spans="1:1" x14ac:dyDescent="0.35">
      <c r="A13" t="str">
        <v>Ventoux</v>
      </c>
    </row>
    <row r="14" spans="1:1" x14ac:dyDescent="0.35">
      <c r="A14" t="str">
        <v>Blaye</v>
      </c>
    </row>
    <row r="15" spans="1:1" x14ac:dyDescent="0.35">
      <c r="A15" t="str">
        <v>Costières de Nîmes</v>
      </c>
    </row>
    <row r="16" spans="1:1" x14ac:dyDescent="0.35">
      <c r="A16" t="str">
        <v>Corbières</v>
      </c>
    </row>
    <row r="17" spans="1:1" x14ac:dyDescent="0.35">
      <c r="A17" t="str">
        <v>Gaillac</v>
      </c>
    </row>
    <row r="18" spans="1:1" x14ac:dyDescent="0.35">
      <c r="A18" t="str">
        <v>Grignan-les-Adhémar</v>
      </c>
    </row>
    <row r="19" spans="1:1" x14ac:dyDescent="0.35">
      <c r="A19" t="str">
        <v>Alsace</v>
      </c>
    </row>
    <row r="20" spans="1:1" x14ac:dyDescent="0.35">
      <c r="A20" t="str">
        <v>Vin de Corse ou Corse</v>
      </c>
    </row>
    <row r="21" spans="1:1" x14ac:dyDescent="0.35">
      <c r="A21" t="str">
        <v>Côtes de Provence</v>
      </c>
    </row>
    <row r="22" spans="1:1" x14ac:dyDescent="0.35">
      <c r="A22" t="str">
        <v>Muscat du Cap Corse</v>
      </c>
    </row>
    <row r="23" spans="1:1" x14ac:dyDescent="0.35">
      <c r="A23" t="str">
        <v>Palette</v>
      </c>
    </row>
    <row r="24" spans="1:1" x14ac:dyDescent="0.35">
      <c r="A24" t="str">
        <v>Vin de Corse Sartène ou Corse Sartène</v>
      </c>
    </row>
    <row r="25" spans="1:1" x14ac:dyDescent="0.35">
      <c r="A25" t="str">
        <v>Clairette de Die</v>
      </c>
    </row>
    <row r="26" spans="1:1" x14ac:dyDescent="0.35">
      <c r="A26" t="str">
        <v>Patrimonio</v>
      </c>
    </row>
    <row r="27" spans="1:1" x14ac:dyDescent="0.35">
      <c r="A27" t="str">
        <v>Luberon</v>
      </c>
    </row>
    <row r="28" spans="1:1" x14ac:dyDescent="0.35">
      <c r="A28" t="str">
        <v>Vin de Corse Calvi ou Corse Calvi</v>
      </c>
    </row>
    <row r="29" spans="1:1" x14ac:dyDescent="0.35">
      <c r="A29" t="str">
        <v>Clairette de Bellegarde</v>
      </c>
    </row>
    <row r="30" spans="1:1" x14ac:dyDescent="0.35">
      <c r="A30" t="str">
        <v>Fronton</v>
      </c>
    </row>
    <row r="31" spans="1:1" x14ac:dyDescent="0.35">
      <c r="A31" t="str">
        <v>Clairette du Languedoc</v>
      </c>
    </row>
    <row r="32" spans="1:1" x14ac:dyDescent="0.35">
      <c r="A32" t="str">
        <v>Chablis</v>
      </c>
    </row>
    <row r="33" spans="1:1" x14ac:dyDescent="0.35">
      <c r="A33" t="str">
        <v>Languedoc</v>
      </c>
    </row>
    <row r="34" spans="1:1" x14ac:dyDescent="0.35">
      <c r="A34" t="str">
        <v>Crémant de Limoux</v>
      </c>
    </row>
    <row r="35" spans="1:1" x14ac:dyDescent="0.35">
      <c r="A35" t="str">
        <v>Muscat de Frontignan ou Frontignan ou Vin de Frontignan</v>
      </c>
    </row>
    <row r="36" spans="1:1" x14ac:dyDescent="0.35">
      <c r="A36" t="str">
        <v>Coteaux varois en Provence</v>
      </c>
    </row>
    <row r="37" spans="1:1" x14ac:dyDescent="0.35">
      <c r="A37" t="str">
        <v>Bourgogne</v>
      </c>
    </row>
    <row r="38" spans="1:1" x14ac:dyDescent="0.35">
      <c r="A38" t="str">
        <v>Faugères</v>
      </c>
    </row>
    <row r="39" spans="1:1" x14ac:dyDescent="0.35">
      <c r="A39" t="str">
        <v>Tavel</v>
      </c>
    </row>
    <row r="40" spans="1:1" x14ac:dyDescent="0.35">
      <c r="A40" t="str">
        <v>Châtillon-en-Diois</v>
      </c>
    </row>
    <row r="41" spans="1:1" x14ac:dyDescent="0.35">
      <c r="A41" t="str">
        <v>Crémant du Jura</v>
      </c>
    </row>
    <row r="42" spans="1:1" x14ac:dyDescent="0.35">
      <c r="A42" t="str">
        <v>Cornas</v>
      </c>
    </row>
    <row r="43" spans="1:1" x14ac:dyDescent="0.35">
      <c r="A43" t="str">
        <v>Muscat de Mireval</v>
      </c>
    </row>
    <row r="44" spans="1:1" x14ac:dyDescent="0.35">
      <c r="A44" t="str">
        <v>Béarn</v>
      </c>
    </row>
    <row r="45" spans="1:1" x14ac:dyDescent="0.35">
      <c r="A45" t="str">
        <v>Vin de Corse Porto-Vecchio ou Corse Porto-Vecchio</v>
      </c>
    </row>
    <row r="46" spans="1:1" x14ac:dyDescent="0.35">
      <c r="A46" t="str">
        <v>Beaujolais</v>
      </c>
    </row>
    <row r="47" spans="1:1" x14ac:dyDescent="0.35">
      <c r="A47" t="str">
        <v>Crozes-Hermitage ou Crozes-Ermitage</v>
      </c>
    </row>
    <row r="48" spans="1:1" x14ac:dyDescent="0.35">
      <c r="A48" t="str">
        <v>Chinon</v>
      </c>
    </row>
    <row r="49" spans="1:1" x14ac:dyDescent="0.35">
      <c r="A49" t="str">
        <v>Brulhois</v>
      </c>
    </row>
    <row r="50" spans="1:1" x14ac:dyDescent="0.35">
      <c r="A50" t="str">
        <v>Cahors</v>
      </c>
    </row>
    <row r="51" spans="1:1" x14ac:dyDescent="0.35">
      <c r="A51" t="str">
        <v>Arbois</v>
      </c>
    </row>
    <row r="52" spans="1:1" x14ac:dyDescent="0.35">
      <c r="A52" t="str">
        <v>Côtes du Vivarais</v>
      </c>
    </row>
    <row r="53" spans="1:1" x14ac:dyDescent="0.35">
      <c r="A53" t="str">
        <v>Cabardès</v>
      </c>
    </row>
    <row r="54" spans="1:1" x14ac:dyDescent="0.35">
      <c r="A54" t="str">
        <v>Quincy</v>
      </c>
    </row>
    <row r="55" spans="1:1" x14ac:dyDescent="0.35">
      <c r="A55" t="str">
        <v>Banyuls</v>
      </c>
    </row>
    <row r="56" spans="1:1" x14ac:dyDescent="0.35">
      <c r="A56" t="str">
        <v>Entraygues - Le Fel</v>
      </c>
    </row>
    <row r="57" spans="1:1" x14ac:dyDescent="0.35">
      <c r="A57" t="str">
        <v>Bourgueil</v>
      </c>
    </row>
    <row r="58" spans="1:1" x14ac:dyDescent="0.35">
      <c r="A58" t="str">
        <v>Anjou</v>
      </c>
    </row>
    <row r="59" spans="1:1" x14ac:dyDescent="0.35">
      <c r="A59" t="str">
        <v>Marcillac</v>
      </c>
    </row>
    <row r="60" spans="1:1" x14ac:dyDescent="0.35">
      <c r="A60" t="str">
        <v>Beaumes de Venise</v>
      </c>
    </row>
    <row r="61" spans="1:1" x14ac:dyDescent="0.35">
      <c r="A61" t="str">
        <v>Châteauneuf-du-Pape</v>
      </c>
    </row>
    <row r="62" spans="1:1" x14ac:dyDescent="0.35">
      <c r="A62" t="str">
        <v>Cheverny</v>
      </c>
    </row>
    <row r="63" spans="1:1" x14ac:dyDescent="0.35">
      <c r="A63" t="str">
        <v>Seyssel</v>
      </c>
    </row>
    <row r="64" spans="1:1" x14ac:dyDescent="0.35">
      <c r="A64" t="str">
        <v>Crémant de Bourgogne</v>
      </c>
    </row>
    <row r="65" spans="1:1" x14ac:dyDescent="0.35">
      <c r="A65" t="str">
        <v>Malepère</v>
      </c>
    </row>
    <row r="66" spans="1:1" x14ac:dyDescent="0.35">
      <c r="A66" t="str">
        <v>Saint-Pourçain</v>
      </c>
    </row>
    <row r="67" spans="1:1" x14ac:dyDescent="0.35">
      <c r="A67" t="str">
        <v>Reuilly</v>
      </c>
    </row>
    <row r="68" spans="1:1" x14ac:dyDescent="0.35">
      <c r="A68" t="str">
        <v>Pierrevert</v>
      </c>
    </row>
    <row r="69" spans="1:1" x14ac:dyDescent="0.35">
      <c r="A69" t="str">
        <v>Irouléguy</v>
      </c>
    </row>
    <row r="70" spans="1:1" x14ac:dyDescent="0.35">
      <c r="A70" t="str">
        <v>Bourgogne Passe-tout-grains</v>
      </c>
    </row>
    <row r="71" spans="1:1" x14ac:dyDescent="0.35">
      <c r="A71" t="str">
        <v>Pouilly-Fumé ou Blanc Fumé de Pouilly</v>
      </c>
    </row>
    <row r="72" spans="1:1" x14ac:dyDescent="0.35">
      <c r="A72" t="str">
        <v>Côtes du Rhône Villages</v>
      </c>
    </row>
    <row r="73" spans="1:1" x14ac:dyDescent="0.35">
      <c r="A73" t="str">
        <v>Saint-Sardos</v>
      </c>
    </row>
    <row r="74" spans="1:1" x14ac:dyDescent="0.35">
      <c r="A74" t="str">
        <v>Tursan</v>
      </c>
    </row>
    <row r="75" spans="1:1" x14ac:dyDescent="0.35">
      <c r="A75" t="str">
        <v>Cairanne</v>
      </c>
    </row>
    <row r="76" spans="1:1" x14ac:dyDescent="0.35">
      <c r="A76" t="str">
        <v>Sancerre</v>
      </c>
    </row>
    <row r="77" spans="1:1" x14ac:dyDescent="0.35">
      <c r="A77" t="str">
        <v>Saint-Mont</v>
      </c>
    </row>
    <row r="78" spans="1:1" x14ac:dyDescent="0.35">
      <c r="A78" t="str">
        <v>Gros Plant du Pays Nantais</v>
      </c>
    </row>
    <row r="79" spans="1:1" x14ac:dyDescent="0.35">
      <c r="A79" t="str">
        <v>Crémant de Loire</v>
      </c>
    </row>
    <row r="80" spans="1:1" x14ac:dyDescent="0.35">
      <c r="A80" t="str">
        <v>Valençay</v>
      </c>
    </row>
    <row r="81" spans="1:1" x14ac:dyDescent="0.35">
      <c r="A81" t="str">
        <v>Roussette de Savoie</v>
      </c>
    </row>
    <row r="82" spans="1:1" x14ac:dyDescent="0.35">
      <c r="A82" t="str">
        <v>Orléans</v>
      </c>
    </row>
    <row r="83" spans="1:1" x14ac:dyDescent="0.35">
      <c r="A83" t="str">
        <v>La Clape</v>
      </c>
    </row>
    <row r="84" spans="1:1" x14ac:dyDescent="0.35">
      <c r="A84" t="str">
        <v>Haut-Poitou</v>
      </c>
    </row>
    <row r="85" spans="1:1" x14ac:dyDescent="0.35">
      <c r="A85" t="str">
        <v>Coteaux du Quercy</v>
      </c>
    </row>
    <row r="86" spans="1:1" x14ac:dyDescent="0.35">
      <c r="A86" t="str">
        <v>Côtes du Forez</v>
      </c>
    </row>
    <row r="87" spans="1:1" x14ac:dyDescent="0.35">
      <c r="A87" t="str">
        <v>Coteaux du Lyonnais</v>
      </c>
    </row>
    <row r="88" spans="1:1" x14ac:dyDescent="0.35">
      <c r="A88" t="str">
        <v>Bugey</v>
      </c>
    </row>
    <row r="89" spans="1:1" x14ac:dyDescent="0.35">
      <c r="A89" t="str">
        <v>Menetou-Salon</v>
      </c>
    </row>
    <row r="90" spans="1:1" x14ac:dyDescent="0.35">
      <c r="A90" t="str">
        <v>Estaing</v>
      </c>
    </row>
    <row r="91" spans="1:1" x14ac:dyDescent="0.35">
      <c r="A91">
        <v>0</v>
      </c>
    </row>
    <row r="92" spans="1:1" x14ac:dyDescent="0.35">
      <c r="A92" t="str">
        <v>Bordeaux supérieur</v>
      </c>
    </row>
    <row r="93" spans="1:1" x14ac:dyDescent="0.35">
      <c r="A93" t="str">
        <v>Côtes de Bergerac</v>
      </c>
    </row>
    <row r="94" spans="1:1" x14ac:dyDescent="0.35">
      <c r="A94" t="str">
        <v>Côtes du Roussillon Villages</v>
      </c>
    </row>
    <row r="95" spans="1:1" x14ac:dyDescent="0.35">
      <c r="A95" t="str">
        <v>Muscat de Rivesaltes</v>
      </c>
    </row>
    <row r="96" spans="1:1" x14ac:dyDescent="0.35">
      <c r="A96" t="str">
        <v>Bordeaux Haut-Benauge</v>
      </c>
    </row>
    <row r="97" spans="1:1" x14ac:dyDescent="0.35">
      <c r="A97" t="str">
        <v>Alsace suivi d'un nom de lieu-dit</v>
      </c>
    </row>
    <row r="98" spans="1:1" x14ac:dyDescent="0.35">
      <c r="A98" t="str">
        <v>Vin de Corse ou Corse Figari</v>
      </c>
    </row>
    <row r="99" spans="1:1" x14ac:dyDescent="0.35">
      <c r="A99" t="str">
        <v>Coteaux de Die</v>
      </c>
    </row>
    <row r="100" spans="1:1" x14ac:dyDescent="0.35">
      <c r="A100" t="str">
        <v>Les Baux de Provence</v>
      </c>
    </row>
    <row r="101" spans="1:1" x14ac:dyDescent="0.35">
      <c r="A101" t="str">
        <v>Clairette du Languedoc Cabrières</v>
      </c>
    </row>
    <row r="102" spans="1:1" x14ac:dyDescent="0.35">
      <c r="A102" t="str">
        <v>Limoux</v>
      </c>
    </row>
    <row r="103" spans="1:1" x14ac:dyDescent="0.35">
      <c r="A103" t="str">
        <v>Minervois</v>
      </c>
    </row>
    <row r="104" spans="1:1" x14ac:dyDescent="0.35">
      <c r="A104" t="str">
        <v>Lirac</v>
      </c>
    </row>
    <row r="105" spans="1:1" x14ac:dyDescent="0.35">
      <c r="A105" t="str">
        <v>Saint-Péray</v>
      </c>
    </row>
    <row r="106" spans="1:1" x14ac:dyDescent="0.35">
      <c r="A106" t="str">
        <v>Vin de Corse Coteaux du Cap Corse ou Corse Coteaux du Cap Corse</v>
      </c>
    </row>
    <row r="107" spans="1:1" x14ac:dyDescent="0.35">
      <c r="A107" t="str">
        <v>Côtes du Jura</v>
      </c>
    </row>
    <row r="108" spans="1:1" x14ac:dyDescent="0.35">
      <c r="A108" t="str">
        <v>Madiran</v>
      </c>
    </row>
    <row r="109" spans="1:1" x14ac:dyDescent="0.35">
      <c r="A109" t="str">
        <v>Saint-Chinian</v>
      </c>
    </row>
    <row r="110" spans="1:1" x14ac:dyDescent="0.35">
      <c r="A110" t="str">
        <v>Beaujolais Le Perréon</v>
      </c>
    </row>
    <row r="111" spans="1:1" x14ac:dyDescent="0.35">
      <c r="A111" t="str">
        <v>Chablis premier cru</v>
      </c>
    </row>
    <row r="112" spans="1:1" x14ac:dyDescent="0.35">
      <c r="A112" t="str">
        <v>Fitou</v>
      </c>
    </row>
    <row r="113" spans="1:1" x14ac:dyDescent="0.35">
      <c r="A113" t="str">
        <v>Côtes de Provence Sainte-Victoire</v>
      </c>
    </row>
    <row r="114" spans="1:1" x14ac:dyDescent="0.35">
      <c r="A114" t="str">
        <v>Pic Saint-Loup</v>
      </c>
    </row>
    <row r="115" spans="1:1" x14ac:dyDescent="0.35">
      <c r="A115" t="str">
        <v>Beaujolais Odenas</v>
      </c>
    </row>
    <row r="116" spans="1:1" x14ac:dyDescent="0.35">
      <c r="A116" t="str">
        <v>Banyuls grand cru</v>
      </c>
    </row>
    <row r="117" spans="1:1" x14ac:dyDescent="0.35">
      <c r="A117" t="str">
        <v>Arbois Pupillin</v>
      </c>
    </row>
    <row r="118" spans="1:1" x14ac:dyDescent="0.35">
      <c r="A118" t="str">
        <v>Languedoc Quatourze</v>
      </c>
    </row>
    <row r="119" spans="1:1" x14ac:dyDescent="0.35">
      <c r="A119" t="str">
        <v>Bourgogne Chitry</v>
      </c>
    </row>
    <row r="120" spans="1:1" x14ac:dyDescent="0.35">
      <c r="A120" t="str">
        <v>Gigondas</v>
      </c>
    </row>
    <row r="121" spans="1:1" x14ac:dyDescent="0.35">
      <c r="A121" t="str">
        <v>Bourgogne Hautes Côtes de Nuits</v>
      </c>
    </row>
    <row r="122" spans="1:1" x14ac:dyDescent="0.35">
      <c r="A122" t="str">
        <v>Vin de Savoie ou Savoie</v>
      </c>
    </row>
    <row r="123" spans="1:1" x14ac:dyDescent="0.35">
      <c r="A123" t="str">
        <v>Petit Chablis</v>
      </c>
    </row>
    <row r="124" spans="1:1" x14ac:dyDescent="0.35">
      <c r="A124" t="str">
        <v>Corbières-Boutenac</v>
      </c>
    </row>
    <row r="125" spans="1:1" x14ac:dyDescent="0.35">
      <c r="A125" t="str">
        <v>Bourgogne Côte Chalonnaise</v>
      </c>
    </row>
    <row r="126" spans="1:1" x14ac:dyDescent="0.35">
      <c r="A126" t="str">
        <v>Côtes du Roussillon Villages Les Aspres</v>
      </c>
    </row>
    <row r="127" spans="1:1" x14ac:dyDescent="0.35">
      <c r="A127" t="str">
        <v>Cabernet d'Anjou</v>
      </c>
    </row>
    <row r="128" spans="1:1" x14ac:dyDescent="0.35">
      <c r="A128" t="str">
        <v>Bourgogne Côtes d'Auxerre</v>
      </c>
    </row>
    <row r="129" spans="1:1" x14ac:dyDescent="0.35">
      <c r="A129" t="str">
        <v>Bourgogne aligoté</v>
      </c>
    </row>
    <row r="130" spans="1:1" x14ac:dyDescent="0.35">
      <c r="A130" t="str">
        <v>Pouilly-sur-Loire</v>
      </c>
    </row>
    <row r="131" spans="1:1" x14ac:dyDescent="0.35">
      <c r="A131" t="str">
        <v>Côtes du Rhône Villages Sainte-Cécile</v>
      </c>
    </row>
    <row r="132" spans="1:1" x14ac:dyDescent="0.35">
      <c r="A132" t="str">
        <v>Cour-Cheverny</v>
      </c>
    </row>
    <row r="133" spans="1:1" x14ac:dyDescent="0.35">
      <c r="A133" t="str">
        <v>Beaujolais Villages</v>
      </c>
    </row>
    <row r="134" spans="1:1" x14ac:dyDescent="0.35">
      <c r="A134" t="str">
        <v>Anjou Villages</v>
      </c>
    </row>
    <row r="135" spans="1:1" x14ac:dyDescent="0.35">
      <c r="A135" t="str">
        <v>Languedoc Saint-Georges-d'Orques</v>
      </c>
    </row>
    <row r="136" spans="1:1" x14ac:dyDescent="0.35">
      <c r="A136" t="str">
        <v>Bourgogne Côtes du Couchois</v>
      </c>
    </row>
    <row r="137" spans="1:1" x14ac:dyDescent="0.35">
      <c r="A137" t="str">
        <v>Languedoc Saint-Saturnin</v>
      </c>
    </row>
    <row r="138" spans="1:1" x14ac:dyDescent="0.35">
      <c r="A138" t="str">
        <v>Muscadet</v>
      </c>
    </row>
    <row r="139" spans="1:1" x14ac:dyDescent="0.35">
      <c r="A139" t="str">
        <v>Rosé de Loire</v>
      </c>
    </row>
    <row r="140" spans="1:1" x14ac:dyDescent="0.35">
      <c r="A140" t="str">
        <v>Languedoc La Méjanelle</v>
      </c>
    </row>
    <row r="141" spans="1:1" x14ac:dyDescent="0.35">
      <c r="A141" t="str">
        <v>Vin de Savoie Chignin-Bergeron</v>
      </c>
    </row>
    <row r="142" spans="1:1" x14ac:dyDescent="0.35">
      <c r="A142" t="str">
        <v>Bourgogne Hautes Côtes de Beaune</v>
      </c>
    </row>
    <row r="143" spans="1:1" x14ac:dyDescent="0.35">
      <c r="A143" t="str">
        <v>Montlouis-sur-Loire</v>
      </c>
    </row>
    <row r="144" spans="1:1" x14ac:dyDescent="0.35">
      <c r="A144" t="str">
        <v>Clairette du Languedoc Lieuran-Cabrières</v>
      </c>
    </row>
    <row r="145" spans="1:1" x14ac:dyDescent="0.35">
      <c r="A145" t="str">
        <v>Beaujolais Saint-Etienne-des-Oullières</v>
      </c>
    </row>
    <row r="146" spans="1:1" x14ac:dyDescent="0.35">
      <c r="A146" t="str">
        <v>Crémant d’Alsace</v>
      </c>
    </row>
    <row r="147" spans="1:1" x14ac:dyDescent="0.35">
      <c r="A147" t="str">
        <v>Orléans-Cléry</v>
      </c>
    </row>
    <row r="148" spans="1:1" x14ac:dyDescent="0.35">
      <c r="A148" t="str">
        <v>Languedoc Grès de Montpellier</v>
      </c>
    </row>
    <row r="149" spans="1:1" x14ac:dyDescent="0.35">
      <c r="A149" t="str">
        <v>Clairette du Languedoc Le Bosc</v>
      </c>
    </row>
    <row r="150" spans="1:1" x14ac:dyDescent="0.35">
      <c r="A150" t="str">
        <v>Beaujolais Quincié-en-Beaujolais</v>
      </c>
    </row>
    <row r="151" spans="1:1" x14ac:dyDescent="0.35">
      <c r="A151" t="str">
        <v>Languedoc Montpeyroux</v>
      </c>
    </row>
    <row r="152" spans="1:1" x14ac:dyDescent="0.35">
      <c r="A152" t="str">
        <v>Clairette du Languedoc Aspiran</v>
      </c>
    </row>
    <row r="153" spans="1:1" x14ac:dyDescent="0.35">
      <c r="A153" t="str">
        <v>Saint-Joseph</v>
      </c>
    </row>
    <row r="154" spans="1:1" x14ac:dyDescent="0.35">
      <c r="A154" t="str">
        <v>Beaujolais Beaujeu</v>
      </c>
    </row>
    <row r="155" spans="1:1" x14ac:dyDescent="0.35">
      <c r="A155" t="str">
        <v>Clairette du Languedoc Péret</v>
      </c>
    </row>
    <row r="156" spans="1:1" x14ac:dyDescent="0.35">
      <c r="A156" t="str">
        <v>Alsace grand cru Mambourg</v>
      </c>
    </row>
    <row r="157" spans="1:1" x14ac:dyDescent="0.35">
      <c r="A157" t="str">
        <v>Jurançon</v>
      </c>
    </row>
    <row r="158" spans="1:1" x14ac:dyDescent="0.35">
      <c r="A158" t="str">
        <v>Beaujolais Lantignié</v>
      </c>
    </row>
    <row r="159" spans="1:1" x14ac:dyDescent="0.35">
      <c r="A159" t="str">
        <v>Roussette de Savoie Frangy</v>
      </c>
    </row>
    <row r="160" spans="1:1" x14ac:dyDescent="0.35">
      <c r="A160" t="str">
        <v>Terrasses du Larzac</v>
      </c>
    </row>
    <row r="161" spans="1:1" x14ac:dyDescent="0.35">
      <c r="A161" t="str">
        <v>Beaujolais La Chapelle-de-Guinchay</v>
      </c>
    </row>
    <row r="162" spans="1:1" x14ac:dyDescent="0.35">
      <c r="A162" t="str">
        <v>Picpoul de Pinet</v>
      </c>
    </row>
    <row r="163" spans="1:1" x14ac:dyDescent="0.35">
      <c r="A163" t="str">
        <v>Beaujolais Vaux-en-Beaujolais</v>
      </c>
    </row>
    <row r="164" spans="1:1" x14ac:dyDescent="0.35">
      <c r="A164" t="str">
        <v>Beaujolais Saint-Lager</v>
      </c>
    </row>
    <row r="165" spans="1:1" x14ac:dyDescent="0.35">
      <c r="A165" t="str">
        <v>Bourgogne Côte d'Or</v>
      </c>
    </row>
    <row r="166" spans="1:1" x14ac:dyDescent="0.35">
      <c r="A166" t="str">
        <v>Gaillac premières côtes</v>
      </c>
    </row>
    <row r="167" spans="1:1" x14ac:dyDescent="0.35">
      <c r="A167" t="str">
        <v>Bugey Cerdon</v>
      </c>
    </row>
    <row r="168" spans="1:1" x14ac:dyDescent="0.35">
      <c r="A168" t="str">
        <v>Bourgogne Epineuil</v>
      </c>
    </row>
    <row r="169" spans="1:1" x14ac:dyDescent="0.35">
      <c r="A169" t="str">
        <v>Alsace grand cru Schlossberg</v>
      </c>
    </row>
    <row r="170" spans="1:1" x14ac:dyDescent="0.35">
      <c r="A170" t="str">
        <v>Vin de Savoie Apremont</v>
      </c>
    </row>
    <row r="171" spans="1:1" x14ac:dyDescent="0.35">
      <c r="A171" t="str">
        <v>Crémant de Bordeaux</v>
      </c>
    </row>
    <row r="172" spans="1:1" x14ac:dyDescent="0.35">
      <c r="A172" t="str">
        <v>Monbazillac</v>
      </c>
    </row>
    <row r="173" spans="1:1" x14ac:dyDescent="0.35">
      <c r="A173" t="str">
        <v>Rivesaltes</v>
      </c>
    </row>
    <row r="174" spans="1:1" x14ac:dyDescent="0.35">
      <c r="A174" t="str">
        <v>Cadillac</v>
      </c>
    </row>
    <row r="175" spans="1:1" x14ac:dyDescent="0.35">
      <c r="A175" t="str">
        <v>Côtes du Rhône Villages Saint-Maurice</v>
      </c>
    </row>
    <row r="176" spans="1:1" x14ac:dyDescent="0.35">
      <c r="A176" t="str">
        <v>Côtes du Roussillon Villages Caramany</v>
      </c>
    </row>
    <row r="177" spans="1:1" x14ac:dyDescent="0.35">
      <c r="A177" t="str">
        <v>Rosette</v>
      </c>
    </row>
    <row r="178" spans="1:1" x14ac:dyDescent="0.35">
      <c r="A178" t="str">
        <v>Saussignac</v>
      </c>
    </row>
    <row r="179" spans="1:1" x14ac:dyDescent="0.35">
      <c r="A179" t="str">
        <v>Crémant de Die</v>
      </c>
    </row>
    <row r="180" spans="1:1" x14ac:dyDescent="0.35">
      <c r="A180" t="str">
        <v>Côtes du Rhône Villages Saint-Gervais</v>
      </c>
    </row>
    <row r="181" spans="1:1" x14ac:dyDescent="0.35">
      <c r="A181" t="str">
        <v>Côtes du Rhône Villages Signargues</v>
      </c>
    </row>
    <row r="182" spans="1:1" x14ac:dyDescent="0.35">
      <c r="A182" t="str">
        <v>Côtes du Rhône Villages Laudun</v>
      </c>
    </row>
    <row r="183" spans="1:1" x14ac:dyDescent="0.35">
      <c r="A183" t="str">
        <v>Côtes du Rhône Villages Valréas</v>
      </c>
    </row>
    <row r="184" spans="1:1" x14ac:dyDescent="0.35">
      <c r="A184" t="str">
        <v>Pécharmant</v>
      </c>
    </row>
    <row r="185" spans="1:1" x14ac:dyDescent="0.35">
      <c r="A185" t="str">
        <v>Côtes du Rhône Villages Plan de Dieu</v>
      </c>
    </row>
    <row r="186" spans="1:1" x14ac:dyDescent="0.35">
      <c r="A186" t="str">
        <v>Canon Fronsac</v>
      </c>
    </row>
    <row r="187" spans="1:1" x14ac:dyDescent="0.35">
      <c r="A187" t="str">
        <v>Vinsobres</v>
      </c>
    </row>
    <row r="188" spans="1:1" x14ac:dyDescent="0.35">
      <c r="A188" t="str">
        <v>Macvin du Jura</v>
      </c>
    </row>
    <row r="189" spans="1:1" x14ac:dyDescent="0.35">
      <c r="A189" t="str">
        <v>Pacherenc du Vic-Bilh</v>
      </c>
    </row>
    <row r="190" spans="1:1" x14ac:dyDescent="0.35">
      <c r="A190" t="str">
        <v>Côtes du Roussillon Villages Tautavel</v>
      </c>
    </row>
    <row r="191" spans="1:1" x14ac:dyDescent="0.35">
      <c r="A191" t="str">
        <v>Côtes du Rhône Villages Séguret</v>
      </c>
    </row>
    <row r="192" spans="1:1" x14ac:dyDescent="0.35">
      <c r="A192" t="str">
        <v>Côtes de Montravel</v>
      </c>
    </row>
    <row r="193" spans="1:1" x14ac:dyDescent="0.35">
      <c r="A193" t="str">
        <v>Rasteau Vin Doux Naturel</v>
      </c>
    </row>
    <row r="194" spans="1:1" x14ac:dyDescent="0.35">
      <c r="A194" t="str">
        <v>Côtes du Rhône Villages Saint-Pantaléon-les-Vignes</v>
      </c>
    </row>
    <row r="195" spans="1:1" x14ac:dyDescent="0.35">
      <c r="A195" t="str">
        <v>Collioure</v>
      </c>
    </row>
    <row r="196" spans="1:1" x14ac:dyDescent="0.35">
      <c r="A196" t="str">
        <v>Côtes du Rhône Villages Sablet</v>
      </c>
    </row>
    <row r="197" spans="1:1" x14ac:dyDescent="0.35">
      <c r="A197" t="str">
        <v>Côtes du Rhône Villages Rochegude</v>
      </c>
    </row>
    <row r="198" spans="1:1" x14ac:dyDescent="0.35">
      <c r="A198" t="str">
        <v>Côtes du Rhône Villages Chusclan</v>
      </c>
    </row>
    <row r="199" spans="1:1" x14ac:dyDescent="0.35">
      <c r="A199" t="str">
        <v>Côtes du Rhône Villages Massif d'Uchaux</v>
      </c>
    </row>
    <row r="200" spans="1:1" x14ac:dyDescent="0.35">
      <c r="A200" t="str">
        <v>Côtes du Rhône Villages Suze-la-Rousse</v>
      </c>
    </row>
    <row r="201" spans="1:1" x14ac:dyDescent="0.35">
      <c r="A201" t="str">
        <v>Bourgogne mousseux</v>
      </c>
    </row>
    <row r="202" spans="1:1" x14ac:dyDescent="0.35">
      <c r="A202" t="str">
        <v>Muscat de Beaumes-de-Venise</v>
      </c>
    </row>
    <row r="203" spans="1:1" x14ac:dyDescent="0.35">
      <c r="A203" t="str">
        <v>Saint-Chinian Roquebrun</v>
      </c>
    </row>
    <row r="204" spans="1:1" x14ac:dyDescent="0.35">
      <c r="A204" t="str">
        <v>Rasteau</v>
      </c>
    </row>
    <row r="205" spans="1:1" x14ac:dyDescent="0.35">
      <c r="A205" t="str">
        <v>Muscadet Sèvre et Maine</v>
      </c>
    </row>
    <row r="206" spans="1:1" x14ac:dyDescent="0.35">
      <c r="A206" t="str">
        <v>Saint-Chinian Berlou</v>
      </c>
    </row>
    <row r="207" spans="1:1" x14ac:dyDescent="0.35">
      <c r="A207" t="str">
        <v>Touraine</v>
      </c>
    </row>
    <row r="208" spans="1:1" x14ac:dyDescent="0.35">
      <c r="A208" t="str">
        <v>Côtes du Rhône Villages Rousset-les-Vignes</v>
      </c>
    </row>
    <row r="209" spans="1:1" x14ac:dyDescent="0.35">
      <c r="A209" t="str">
        <v>Vin de Savoie Montmélian</v>
      </c>
    </row>
    <row r="210" spans="1:1" x14ac:dyDescent="0.35">
      <c r="A210" t="str">
        <v>Côtes du Roussillon Villages Lesquerde</v>
      </c>
    </row>
    <row r="211" spans="1:1" x14ac:dyDescent="0.35">
      <c r="A211" t="str">
        <v>Minervois-La Livinière</v>
      </c>
    </row>
    <row r="212" spans="1:1" x14ac:dyDescent="0.35">
      <c r="A212" t="str">
        <v>Côtes du Rhône Villages Roaix</v>
      </c>
    </row>
    <row r="213" spans="1:1" x14ac:dyDescent="0.35">
      <c r="A213" t="str">
        <v>Montravel</v>
      </c>
    </row>
    <row r="214" spans="1:1" x14ac:dyDescent="0.35">
      <c r="A214" t="str">
        <v>Vin de Savoie Ripaille</v>
      </c>
    </row>
    <row r="215" spans="1:1" x14ac:dyDescent="0.35">
      <c r="A215" t="str">
        <v>Coteaux de Saumur</v>
      </c>
    </row>
    <row r="216" spans="1:1" x14ac:dyDescent="0.35">
      <c r="A216" t="str">
        <v>Coteaux Bourguignons ou Bourgogne grand ordinaire ou Bourgogne ordinaire</v>
      </c>
    </row>
    <row r="217" spans="1:1" x14ac:dyDescent="0.35">
      <c r="A217" t="str">
        <v>Roussette du Bugey</v>
      </c>
    </row>
    <row r="218" spans="1:1" x14ac:dyDescent="0.35">
      <c r="A218" t="str">
        <v>Côtes du Rhône Villages Saint-Andéol</v>
      </c>
    </row>
    <row r="219" spans="1:1" x14ac:dyDescent="0.35">
      <c r="A219" t="str">
        <v>Côtes du Rhône Villages Gadagne</v>
      </c>
    </row>
    <row r="220" spans="1:1" x14ac:dyDescent="0.35">
      <c r="A220" t="str">
        <v>Chablis premier cru Vaucoupin</v>
      </c>
    </row>
    <row r="221" spans="1:1" x14ac:dyDescent="0.35">
      <c r="A221" t="str">
        <v>Saint-Emilion</v>
      </c>
    </row>
    <row r="222" spans="1:1" x14ac:dyDescent="0.35">
      <c r="A222" t="str">
        <v>Montagne-Saint-Emilion</v>
      </c>
    </row>
    <row r="223" spans="1:1" x14ac:dyDescent="0.35">
      <c r="A223" t="str">
        <v>Lussac-Saint-Emilion</v>
      </c>
    </row>
    <row r="224" spans="1:1" x14ac:dyDescent="0.35">
      <c r="A224" t="str">
        <v>Haut-Médoc</v>
      </c>
    </row>
    <row r="225" spans="1:1" x14ac:dyDescent="0.35">
      <c r="A225" t="str">
        <v>Entre-deux-Mers</v>
      </c>
    </row>
    <row r="226" spans="1:1" x14ac:dyDescent="0.35">
      <c r="A226" t="str">
        <v>Médoc</v>
      </c>
    </row>
    <row r="227" spans="1:1" x14ac:dyDescent="0.35">
      <c r="A227" t="str">
        <v>Graves</v>
      </c>
    </row>
    <row r="228" spans="1:1" x14ac:dyDescent="0.35">
      <c r="A228" t="str">
        <v>Côtes de Bourg</v>
      </c>
    </row>
    <row r="229" spans="1:1" x14ac:dyDescent="0.35">
      <c r="A229" t="str">
        <v>Côtes de Bordeaux</v>
      </c>
    </row>
    <row r="230" spans="1:1" x14ac:dyDescent="0.35">
      <c r="A230" t="str">
        <v>Lalande-de-Pomerol</v>
      </c>
    </row>
    <row r="231" spans="1:1" x14ac:dyDescent="0.35">
      <c r="A231" t="str">
        <v>Cérons</v>
      </c>
    </row>
    <row r="232" spans="1:1" x14ac:dyDescent="0.35">
      <c r="A232" t="str">
        <v>Pomerol</v>
      </c>
    </row>
    <row r="233" spans="1:1" x14ac:dyDescent="0.35">
      <c r="A233" t="str">
        <v>Côtes de Bordeaux-Saint-Macaire</v>
      </c>
    </row>
    <row r="234" spans="1:1" x14ac:dyDescent="0.35">
      <c r="A234" t="str">
        <v>Sauternes</v>
      </c>
    </row>
    <row r="235" spans="1:1" x14ac:dyDescent="0.35">
      <c r="A235" t="str">
        <v>Graves de Vayres</v>
      </c>
    </row>
    <row r="236" spans="1:1" x14ac:dyDescent="0.35">
      <c r="A236" t="str">
        <v>Fronsac</v>
      </c>
    </row>
    <row r="237" spans="1:1" x14ac:dyDescent="0.35">
      <c r="A237" t="str">
        <v>Puisseguin-Saint-Emilion</v>
      </c>
    </row>
    <row r="238" spans="1:1" x14ac:dyDescent="0.35">
      <c r="A238" t="str">
        <v>Haut-Montravel</v>
      </c>
    </row>
    <row r="239" spans="1:1" x14ac:dyDescent="0.35">
      <c r="A239" t="str">
        <v>Brouilly</v>
      </c>
    </row>
    <row r="240" spans="1:1" x14ac:dyDescent="0.35">
      <c r="A240" t="str">
        <v>Rosé d'Anjou</v>
      </c>
    </row>
    <row r="241" spans="1:1" x14ac:dyDescent="0.35">
      <c r="A241" t="str">
        <v>Coteaux du Layon</v>
      </c>
    </row>
    <row r="242" spans="1:1" x14ac:dyDescent="0.35">
      <c r="A242" t="str">
        <v>Touraine Chenonceaux</v>
      </c>
    </row>
    <row r="243" spans="1:1" x14ac:dyDescent="0.35">
      <c r="A243" t="str">
        <v>Touraine Azay-le-Rideau</v>
      </c>
    </row>
    <row r="244" spans="1:1" x14ac:dyDescent="0.35">
      <c r="A244" t="str">
        <v>Languedoc Cabrières</v>
      </c>
    </row>
    <row r="245" spans="1:1" x14ac:dyDescent="0.35">
      <c r="A245" t="str">
        <v>Saint-Nicolas-de-Bourgueil</v>
      </c>
    </row>
    <row r="246" spans="1:1" x14ac:dyDescent="0.35">
      <c r="A246" t="str">
        <v>Vouvray</v>
      </c>
    </row>
    <row r="247" spans="1:1" x14ac:dyDescent="0.35">
      <c r="A247" t="str">
        <v>Morgon</v>
      </c>
    </row>
    <row r="248" spans="1:1" x14ac:dyDescent="0.35">
      <c r="A248" t="str">
        <v>Bourgogne Tonnerre</v>
      </c>
    </row>
    <row r="249" spans="1:1" x14ac:dyDescent="0.35">
      <c r="A249" t="str">
        <v>Saint-Emilion grand cru</v>
      </c>
    </row>
    <row r="250" spans="1:1" x14ac:dyDescent="0.35">
      <c r="A250" t="str">
        <v>Graves supérieures</v>
      </c>
    </row>
    <row r="251" spans="1:1" x14ac:dyDescent="0.35">
      <c r="A251" t="str">
        <v xml:space="preserve"> Bourg et Bourgeais</v>
      </c>
    </row>
    <row r="252" spans="1:1" x14ac:dyDescent="0.35">
      <c r="A252" t="str">
        <v>Côtes de Bordeaux Castillon</v>
      </c>
    </row>
    <row r="253" spans="1:1" x14ac:dyDescent="0.35">
      <c r="A253" t="str">
        <v>Côtes de Bordeaux Cadillac</v>
      </c>
    </row>
    <row r="254" spans="1:1" x14ac:dyDescent="0.35">
      <c r="A254" t="str">
        <v>Côtes de Blaye</v>
      </c>
    </row>
    <row r="255" spans="1:1" x14ac:dyDescent="0.35">
      <c r="A255" t="str">
        <v>Listrac-Médoc</v>
      </c>
    </row>
    <row r="256" spans="1:1" x14ac:dyDescent="0.35">
      <c r="A256" t="str">
        <v>Moulis ou Moulis-en-Médoc</v>
      </c>
    </row>
    <row r="257" spans="1:1" x14ac:dyDescent="0.35">
      <c r="A257" t="str">
        <v>Côtes de Bordeaux Francs</v>
      </c>
    </row>
    <row r="258" spans="1:1" x14ac:dyDescent="0.35">
      <c r="A258" t="str">
        <v>Margaux</v>
      </c>
    </row>
    <row r="259" spans="1:1" x14ac:dyDescent="0.35">
      <c r="A259" t="str">
        <v>Saint-Georges-Saint-Emilion</v>
      </c>
    </row>
    <row r="260" spans="1:1" x14ac:dyDescent="0.35">
      <c r="A260" t="str">
        <v>Maury</v>
      </c>
    </row>
    <row r="261" spans="1:1" x14ac:dyDescent="0.35">
      <c r="A261" t="str">
        <v>Coteaux du Layon Faye-d'Anjou ou Faye</v>
      </c>
    </row>
    <row r="262" spans="1:1" x14ac:dyDescent="0.35">
      <c r="A262" t="str">
        <v>Coteaux du Layon Beaulieu-sur-Layon ou Beaulieu</v>
      </c>
    </row>
    <row r="263" spans="1:1" x14ac:dyDescent="0.35">
      <c r="A263" t="str">
        <v>Côte de Brouilly</v>
      </c>
    </row>
    <row r="264" spans="1:1" x14ac:dyDescent="0.35">
      <c r="A264" t="str">
        <v>Coteaux du Layon Saint-Aubin-de-Luigné ou Saint-Aubin</v>
      </c>
    </row>
    <row r="265" spans="1:1" x14ac:dyDescent="0.35">
      <c r="A265" t="str">
        <v>Coteaux du Layon Rochefort-sur-Loire ou Rochefort</v>
      </c>
    </row>
    <row r="266" spans="1:1" x14ac:dyDescent="0.35">
      <c r="A266" t="str">
        <v>Saint-Estèphe</v>
      </c>
    </row>
    <row r="267" spans="1:1" x14ac:dyDescent="0.35">
      <c r="A267" t="str">
        <v>Saint-Julien</v>
      </c>
    </row>
    <row r="268" spans="1:1" x14ac:dyDescent="0.35">
      <c r="A268" t="str">
        <v>Entre-deux-Mers Haut-Benauge</v>
      </c>
    </row>
    <row r="269" spans="1:1" x14ac:dyDescent="0.35">
      <c r="A269" t="str">
        <v>Pauillac</v>
      </c>
    </row>
    <row r="270" spans="1:1" x14ac:dyDescent="0.35">
      <c r="A270" t="str">
        <v>Premières Côtes de Bordeaux</v>
      </c>
    </row>
    <row r="271" spans="1:1" x14ac:dyDescent="0.35">
      <c r="A271" t="str">
        <v>Loupiac</v>
      </c>
    </row>
    <row r="272" spans="1:1" x14ac:dyDescent="0.35">
      <c r="A272" t="str">
        <v>Pessac-Léognan</v>
      </c>
    </row>
    <row r="273" spans="1:1" x14ac:dyDescent="0.35">
      <c r="A273" t="str">
        <v>Saumur</v>
      </c>
    </row>
    <row r="274" spans="1:1" x14ac:dyDescent="0.35">
      <c r="A274" t="str">
        <v>Mâcon</v>
      </c>
    </row>
    <row r="275" spans="1:1" x14ac:dyDescent="0.35">
      <c r="A275" t="str">
        <v>Clos de Vougeot ou Clos Vougeot</v>
      </c>
    </row>
    <row r="276" spans="1:1" x14ac:dyDescent="0.35">
      <c r="A276" t="str">
        <v>Coteaux du Layon premier cru Chaume</v>
      </c>
    </row>
    <row r="277" spans="1:1" x14ac:dyDescent="0.35">
      <c r="A277" t="str">
        <v>Sainte-Croix-du-Mont</v>
      </c>
    </row>
    <row r="278" spans="1:1" x14ac:dyDescent="0.35">
      <c r="A278" t="str">
        <v>Côtes de Bordeaux Blaye</v>
      </c>
    </row>
    <row r="279" spans="1:1" x14ac:dyDescent="0.35">
      <c r="A279" t="str">
        <v>Mâcon Serrières</v>
      </c>
    </row>
    <row r="280" spans="1:1" x14ac:dyDescent="0.35">
      <c r="A280" t="str">
        <v>Mâcon Mancey</v>
      </c>
    </row>
    <row r="281" spans="1:1" x14ac:dyDescent="0.35">
      <c r="A281" t="str">
        <v>Mâcon Saint-Gengoux-le-National</v>
      </c>
    </row>
    <row r="282" spans="1:1" x14ac:dyDescent="0.35">
      <c r="A282" t="str">
        <v>Mâcon Verzé</v>
      </c>
    </row>
    <row r="283" spans="1:1" x14ac:dyDescent="0.35">
      <c r="A283" t="str">
        <v>Mâcon La Roche-Vineuse</v>
      </c>
    </row>
    <row r="284" spans="1:1" x14ac:dyDescent="0.35">
      <c r="A284" t="str">
        <v>Mâcon Azé</v>
      </c>
    </row>
    <row r="285" spans="1:1" x14ac:dyDescent="0.35">
      <c r="A285" t="str">
        <v>Mâcon Igé</v>
      </c>
    </row>
    <row r="286" spans="1:1" x14ac:dyDescent="0.35">
      <c r="A286" t="str">
        <v>Mercurey</v>
      </c>
    </row>
    <row r="287" spans="1:1" x14ac:dyDescent="0.35">
      <c r="A287" t="str">
        <v>Mâcon Lugny</v>
      </c>
    </row>
    <row r="288" spans="1:1" x14ac:dyDescent="0.35">
      <c r="A288" t="str">
        <v>Saint-Bris</v>
      </c>
    </row>
    <row r="289" spans="1:1" x14ac:dyDescent="0.35">
      <c r="A289" t="str">
        <v>Mâcon Bray</v>
      </c>
    </row>
    <row r="290" spans="1:1" x14ac:dyDescent="0.35">
      <c r="A290" t="str">
        <v>Mâcon Milly-Lamartine</v>
      </c>
    </row>
    <row r="291" spans="1:1" x14ac:dyDescent="0.35">
      <c r="A291" t="str">
        <v>Rully</v>
      </c>
    </row>
    <row r="292" spans="1:1" x14ac:dyDescent="0.35">
      <c r="A292" t="str">
        <v>Mâcon Péronne</v>
      </c>
    </row>
    <row r="293" spans="1:1" x14ac:dyDescent="0.35">
      <c r="A293" t="str">
        <v>Mâcon Chardonnay</v>
      </c>
    </row>
    <row r="294" spans="1:1" x14ac:dyDescent="0.35">
      <c r="A294" t="str">
        <v>Mâcon Villages</v>
      </c>
    </row>
    <row r="295" spans="1:1" x14ac:dyDescent="0.35">
      <c r="A295" t="str">
        <v>Vougeot</v>
      </c>
    </row>
    <row r="296" spans="1:1" x14ac:dyDescent="0.35">
      <c r="A296" t="str">
        <v>Vougeot premier cru</v>
      </c>
    </row>
    <row r="297" spans="1:1" x14ac:dyDescent="0.35">
      <c r="A2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0CA8-73AA-4FED-9285-FE40F16D01D0}">
  <dimension ref="A1:G298"/>
  <sheetViews>
    <sheetView topLeftCell="A4" workbookViewId="0">
      <selection activeCell="A23" sqref="A23"/>
    </sheetView>
  </sheetViews>
  <sheetFormatPr baseColWidth="10" defaultRowHeight="14.5" x14ac:dyDescent="0.35"/>
  <cols>
    <col min="1" max="1" width="62.26953125" bestFit="1" customWidth="1"/>
    <col min="2" max="2" width="17.26953125" bestFit="1" customWidth="1"/>
    <col min="3" max="3" width="17.81640625" bestFit="1" customWidth="1"/>
  </cols>
  <sheetData>
    <row r="1" spans="1:7" x14ac:dyDescent="0.35">
      <c r="A1" t="s">
        <v>296</v>
      </c>
      <c r="B1" t="s">
        <v>297</v>
      </c>
      <c r="C1" t="s">
        <v>851</v>
      </c>
      <c r="D1" t="s">
        <v>852</v>
      </c>
      <c r="G1" t="s">
        <v>853</v>
      </c>
    </row>
    <row r="2" spans="1:7" x14ac:dyDescent="0.35">
      <c r="A2">
        <v>0</v>
      </c>
      <c r="B2">
        <f t="shared" ref="B2:B33" si="0">IF(C2="",D2,C2)</f>
        <v>0</v>
      </c>
      <c r="C2" t="str">
        <f>IF(COUNTIF(cave_Appelations!$A:$A,$A2)&gt;0,$A2,"")</f>
        <v/>
      </c>
      <c r="G2" t="s">
        <v>222</v>
      </c>
    </row>
    <row r="3" spans="1:7" x14ac:dyDescent="0.35">
      <c r="A3">
        <v>0</v>
      </c>
      <c r="B3">
        <f t="shared" si="0"/>
        <v>0</v>
      </c>
      <c r="C3" t="str">
        <f>IF(COUNTIF(cave_Appelations!$A:$A,$A3)&gt;0,$A3,"")</f>
        <v/>
      </c>
      <c r="G3" t="s">
        <v>854</v>
      </c>
    </row>
    <row r="4" spans="1:7" x14ac:dyDescent="0.35">
      <c r="A4" t="s">
        <v>75</v>
      </c>
      <c r="B4" t="str">
        <f t="shared" si="0"/>
        <v>Côtes de Bourg, Bourg et Bourgeais</v>
      </c>
      <c r="D4" t="s">
        <v>362</v>
      </c>
      <c r="G4" t="s">
        <v>252</v>
      </c>
    </row>
    <row r="5" spans="1:7" x14ac:dyDescent="0.35">
      <c r="A5" t="s">
        <v>81</v>
      </c>
      <c r="B5" t="str">
        <f t="shared" si="0"/>
        <v>Ajaccio</v>
      </c>
      <c r="C5" t="str">
        <f>IF(COUNTIF(cave_Appelations!$A:$A,$A5)&gt;0,$A5,"")</f>
        <v>Ajaccio</v>
      </c>
      <c r="G5" t="s">
        <v>70</v>
      </c>
    </row>
    <row r="6" spans="1:7" x14ac:dyDescent="0.35">
      <c r="A6" t="s">
        <v>100</v>
      </c>
      <c r="B6" t="str">
        <f t="shared" si="0"/>
        <v>Alsace</v>
      </c>
      <c r="C6" t="str">
        <f>IF(COUNTIF(cave_Appelations!$A:$A,$A6)&gt;0,$A6,"")</f>
        <v>Alsace</v>
      </c>
      <c r="G6" t="s">
        <v>178</v>
      </c>
    </row>
    <row r="7" spans="1:7" x14ac:dyDescent="0.35">
      <c r="A7" t="s">
        <v>259</v>
      </c>
      <c r="B7" t="str">
        <f t="shared" si="0"/>
        <v>Alsace grand cru</v>
      </c>
      <c r="C7" t="str">
        <f>IF(COUNTIF(cave_Appelations!$A:$A,$A7)&gt;0,$A7,"")</f>
        <v/>
      </c>
      <c r="D7" t="s">
        <v>314</v>
      </c>
    </row>
    <row r="8" spans="1:7" x14ac:dyDescent="0.35">
      <c r="A8" t="s">
        <v>289</v>
      </c>
      <c r="B8" t="str">
        <f t="shared" si="0"/>
        <v>Alsace grand cru</v>
      </c>
      <c r="C8" t="str">
        <f>IF(COUNTIF(cave_Appelations!$A:$A,$A8)&gt;0,$A8,"")</f>
        <v/>
      </c>
      <c r="D8" t="s">
        <v>314</v>
      </c>
    </row>
    <row r="9" spans="1:7" x14ac:dyDescent="0.35">
      <c r="A9" t="s">
        <v>101</v>
      </c>
      <c r="B9" t="str">
        <f t="shared" si="0"/>
        <v>Alsace</v>
      </c>
      <c r="C9" t="str">
        <f>IF(COUNTIF(cave_Appelations!$A:$A,$A9)&gt;0,$A9,"")</f>
        <v/>
      </c>
      <c r="D9" t="s">
        <v>100</v>
      </c>
    </row>
    <row r="10" spans="1:7" x14ac:dyDescent="0.35">
      <c r="A10" t="s">
        <v>29</v>
      </c>
      <c r="B10" t="str">
        <f t="shared" si="0"/>
        <v>Anjou</v>
      </c>
      <c r="C10" t="str">
        <f>IF(COUNTIF(cave_Appelations!$A:$A,$A10)&gt;0,$A10,"")</f>
        <v>Anjou</v>
      </c>
    </row>
    <row r="11" spans="1:7" x14ac:dyDescent="0.35">
      <c r="A11" t="s">
        <v>219</v>
      </c>
      <c r="B11" t="str">
        <f t="shared" si="0"/>
        <v>Anjou Villages</v>
      </c>
      <c r="C11" t="str">
        <f>IF(COUNTIF(cave_Appelations!$A:$A,$A11)&gt;0,$A11,"")</f>
        <v>Anjou Villages</v>
      </c>
    </row>
    <row r="12" spans="1:7" x14ac:dyDescent="0.35">
      <c r="A12" t="s">
        <v>174</v>
      </c>
      <c r="B12" t="str">
        <f t="shared" si="0"/>
        <v>Arbois</v>
      </c>
      <c r="C12" t="str">
        <f>IF(COUNTIF(cave_Appelations!$A:$A,$A12)&gt;0,$A12,"")</f>
        <v>Arbois</v>
      </c>
    </row>
    <row r="13" spans="1:7" x14ac:dyDescent="0.35">
      <c r="A13" t="s">
        <v>189</v>
      </c>
      <c r="B13" t="str">
        <f t="shared" si="0"/>
        <v>Arbois</v>
      </c>
      <c r="C13" t="str">
        <f>IF(COUNTIF(cave_Appelations!$A:$A,$A13)&gt;0,$A13,"")</f>
        <v/>
      </c>
      <c r="D13" t="s">
        <v>174</v>
      </c>
    </row>
    <row r="14" spans="1:7" x14ac:dyDescent="0.35">
      <c r="A14" t="s">
        <v>6</v>
      </c>
      <c r="B14" t="str">
        <f t="shared" si="0"/>
        <v>Bandol</v>
      </c>
      <c r="C14" t="str">
        <f>IF(COUNTIF(cave_Appelations!$A:$A,$A14)&gt;0,$A14,"")</f>
        <v>Bandol</v>
      </c>
    </row>
    <row r="15" spans="1:7" x14ac:dyDescent="0.35">
      <c r="A15" t="s">
        <v>183</v>
      </c>
      <c r="B15" t="str">
        <f t="shared" si="0"/>
        <v>Banyuls</v>
      </c>
      <c r="C15" t="str">
        <f>IF(COUNTIF(cave_Appelations!$A:$A,$A15)&gt;0,$A15,"")</f>
        <v>Banyuls</v>
      </c>
    </row>
    <row r="16" spans="1:7" x14ac:dyDescent="0.35">
      <c r="A16" t="s">
        <v>184</v>
      </c>
      <c r="B16" t="str">
        <f t="shared" si="0"/>
        <v>Banyuls grand cru</v>
      </c>
      <c r="C16" t="str">
        <f>IF(COUNTIF(cave_Appelations!$A:$A,$A16)&gt;0,$A16,"")</f>
        <v>Banyuls grand cru</v>
      </c>
    </row>
    <row r="17" spans="1:4" x14ac:dyDescent="0.35">
      <c r="A17" t="s">
        <v>79</v>
      </c>
      <c r="B17" t="str">
        <f t="shared" si="0"/>
        <v>Barsac</v>
      </c>
      <c r="C17" t="str">
        <f>IF(COUNTIF(cave_Appelations!$A:$A,$A17)&gt;0,$A17,"")</f>
        <v>Barsac</v>
      </c>
    </row>
    <row r="18" spans="1:4" x14ac:dyDescent="0.35">
      <c r="A18" t="s">
        <v>155</v>
      </c>
      <c r="B18" t="str">
        <f t="shared" si="0"/>
        <v>Béarn</v>
      </c>
      <c r="C18" t="str">
        <f>IF(COUNTIF(cave_Appelations!$A:$A,$A18)&gt;0,$A18,"")</f>
        <v>Béarn</v>
      </c>
    </row>
    <row r="19" spans="1:4" x14ac:dyDescent="0.35">
      <c r="A19" t="s">
        <v>162</v>
      </c>
      <c r="B19" t="str">
        <f t="shared" si="0"/>
        <v>Beaujolais</v>
      </c>
      <c r="C19" t="str">
        <f>IF(COUNTIF(cave_Appelations!$A:$A,$A19)&gt;0,$A19,"")</f>
        <v>Beaujolais</v>
      </c>
    </row>
    <row r="20" spans="1:4" x14ac:dyDescent="0.35">
      <c r="A20" t="s">
        <v>254</v>
      </c>
      <c r="B20" t="str">
        <f t="shared" si="0"/>
        <v>Beaujolais-Villages</v>
      </c>
      <c r="C20" t="str">
        <f>IF(COUNTIF(cave_Appelations!$A:$A,$A20)&gt;0,$A20,"")</f>
        <v/>
      </c>
      <c r="D20" t="s">
        <v>337</v>
      </c>
    </row>
    <row r="21" spans="1:4" x14ac:dyDescent="0.35">
      <c r="A21" t="s">
        <v>270</v>
      </c>
      <c r="B21" t="str">
        <f t="shared" si="0"/>
        <v>Beaujolais-Villages</v>
      </c>
      <c r="C21" t="str">
        <f>IF(COUNTIF(cave_Appelations!$A:$A,$A21)&gt;0,$A21,"")</f>
        <v/>
      </c>
      <c r="D21" t="s">
        <v>337</v>
      </c>
    </row>
    <row r="22" spans="1:4" x14ac:dyDescent="0.35">
      <c r="A22" t="s">
        <v>263</v>
      </c>
      <c r="B22" t="str">
        <f t="shared" si="0"/>
        <v>Beaujolais-Villages</v>
      </c>
      <c r="C22" t="str">
        <f>IF(COUNTIF(cave_Appelations!$A:$A,$A22)&gt;0,$A22,"")</f>
        <v/>
      </c>
      <c r="D22" t="s">
        <v>337</v>
      </c>
    </row>
    <row r="23" spans="1:4" x14ac:dyDescent="0.35">
      <c r="A23" t="s">
        <v>163</v>
      </c>
      <c r="B23" t="str">
        <f t="shared" si="0"/>
        <v>Beaujolais-Villages</v>
      </c>
      <c r="C23" t="str">
        <f>IF(COUNTIF(cave_Appelations!$A:$A,$A23)&gt;0,$A23,"")</f>
        <v/>
      </c>
      <c r="D23" t="s">
        <v>337</v>
      </c>
    </row>
    <row r="24" spans="1:4" x14ac:dyDescent="0.35">
      <c r="A24" t="s">
        <v>179</v>
      </c>
      <c r="B24" t="str">
        <f t="shared" si="0"/>
        <v>Beaujolais-Villages</v>
      </c>
      <c r="C24" t="str">
        <f>IF(COUNTIF(cave_Appelations!$A:$A,$A24)&gt;0,$A24,"")</f>
        <v/>
      </c>
      <c r="D24" t="s">
        <v>337</v>
      </c>
    </row>
    <row r="25" spans="1:4" x14ac:dyDescent="0.35">
      <c r="A25" t="s">
        <v>247</v>
      </c>
      <c r="B25" t="str">
        <f t="shared" si="0"/>
        <v>Beaujolais-Villages</v>
      </c>
      <c r="C25" t="str">
        <f>IF(COUNTIF(cave_Appelations!$A:$A,$A25)&gt;0,$A25,"")</f>
        <v/>
      </c>
      <c r="D25" t="s">
        <v>337</v>
      </c>
    </row>
    <row r="26" spans="1:4" x14ac:dyDescent="0.35">
      <c r="A26" t="s">
        <v>243</v>
      </c>
      <c r="B26" t="str">
        <f t="shared" si="0"/>
        <v>Beaujolais-Villages</v>
      </c>
      <c r="C26" t="str">
        <f>IF(COUNTIF(cave_Appelations!$A:$A,$A26)&gt;0,$A26,"")</f>
        <v/>
      </c>
      <c r="D26" t="s">
        <v>337</v>
      </c>
    </row>
    <row r="27" spans="1:4" x14ac:dyDescent="0.35">
      <c r="A27" t="s">
        <v>276</v>
      </c>
      <c r="B27" t="str">
        <f t="shared" si="0"/>
        <v>Beaujolais-Villages</v>
      </c>
      <c r="C27" t="str">
        <f>IF(COUNTIF(cave_Appelations!$A:$A,$A27)&gt;0,$A27,"")</f>
        <v/>
      </c>
      <c r="D27" t="s">
        <v>337</v>
      </c>
    </row>
    <row r="28" spans="1:4" x14ac:dyDescent="0.35">
      <c r="A28" t="s">
        <v>274</v>
      </c>
      <c r="B28" t="str">
        <f t="shared" si="0"/>
        <v>Beaujolais-Villages</v>
      </c>
      <c r="C28" t="str">
        <f>IF(COUNTIF(cave_Appelations!$A:$A,$A28)&gt;0,$A28,"")</f>
        <v/>
      </c>
      <c r="D28" t="s">
        <v>337</v>
      </c>
    </row>
    <row r="29" spans="1:4" x14ac:dyDescent="0.35">
      <c r="A29" t="s">
        <v>164</v>
      </c>
      <c r="B29" t="str">
        <f t="shared" si="0"/>
        <v>Beaujolais-Villages</v>
      </c>
      <c r="C29" t="str">
        <f>IF(COUNTIF(cave_Appelations!$A:$A,$A29)&gt;0,$A29,"")</f>
        <v/>
      </c>
      <c r="D29" t="s">
        <v>337</v>
      </c>
    </row>
    <row r="30" spans="1:4" x14ac:dyDescent="0.35">
      <c r="A30" t="s">
        <v>193</v>
      </c>
      <c r="B30" t="str">
        <f t="shared" si="0"/>
        <v>Beaumes de Venise</v>
      </c>
      <c r="C30" t="str">
        <f>IF(COUNTIF(cave_Appelations!$A:$A,$A30)&gt;0,$A30,"")</f>
        <v>Beaumes de Venise</v>
      </c>
    </row>
    <row r="31" spans="1:4" x14ac:dyDescent="0.35">
      <c r="A31" t="s">
        <v>56</v>
      </c>
      <c r="B31" t="str">
        <f t="shared" si="0"/>
        <v>Bergerac</v>
      </c>
      <c r="C31" t="str">
        <f>IF(COUNTIF(cave_Appelations!$A:$A,$A31)&gt;0,$A31,"")</f>
        <v>Bergerac</v>
      </c>
    </row>
    <row r="32" spans="1:4" x14ac:dyDescent="0.35">
      <c r="A32" t="s">
        <v>93</v>
      </c>
      <c r="B32" t="str">
        <f t="shared" si="0"/>
        <v>Blaye</v>
      </c>
      <c r="C32" t="str">
        <f>IF(COUNTIF(cave_Appelations!$A:$A,$A32)&gt;0,$A32,"")</f>
        <v>Blaye</v>
      </c>
    </row>
    <row r="33" spans="1:4" x14ac:dyDescent="0.35">
      <c r="A33" t="s">
        <v>50</v>
      </c>
      <c r="B33" t="str">
        <f t="shared" si="0"/>
        <v>Bordeaux</v>
      </c>
      <c r="C33" t="str">
        <f>IF(COUNTIF(cave_Appelations!$A:$A,$A33)&gt;0,$A33,"")</f>
        <v>Bordeaux</v>
      </c>
    </row>
    <row r="34" spans="1:4" x14ac:dyDescent="0.35">
      <c r="A34" t="s">
        <v>70</v>
      </c>
      <c r="B34" t="str">
        <f t="shared" ref="B34:B65" si="1">IF(C34="",D34,C34)</f>
        <v>Bordeaux</v>
      </c>
      <c r="C34" t="str">
        <f>IF(COUNTIF(cave_Appelations!$A:$A,$A34)&gt;0,$A34,"")</f>
        <v/>
      </c>
      <c r="D34" t="s">
        <v>50</v>
      </c>
    </row>
    <row r="35" spans="1:4" x14ac:dyDescent="0.35">
      <c r="A35" t="s">
        <v>51</v>
      </c>
      <c r="B35" t="str">
        <f t="shared" si="1"/>
        <v>Bordeaux supérieur</v>
      </c>
      <c r="C35" t="str">
        <f>IF(COUNTIF(cave_Appelations!$A:$A,$A35)&gt;0,$A35,"")</f>
        <v>Bordeaux supérieur</v>
      </c>
    </row>
    <row r="36" spans="1:4" x14ac:dyDescent="0.35">
      <c r="A36" t="s">
        <v>138</v>
      </c>
      <c r="B36" t="str">
        <f t="shared" si="1"/>
        <v>Bourgogne</v>
      </c>
      <c r="C36" t="str">
        <f>IF(COUNTIF(cave_Appelations!$A:$A,$A36)&gt;0,$A36,"")</f>
        <v>Bourgogne</v>
      </c>
    </row>
    <row r="37" spans="1:4" x14ac:dyDescent="0.35">
      <c r="A37" t="s">
        <v>140</v>
      </c>
      <c r="B37" t="str">
        <f t="shared" si="1"/>
        <v>Bourgogne aligoté</v>
      </c>
      <c r="C37" t="str">
        <f>IF(COUNTIF(cave_Appelations!$A:$A,$A37)&gt;0,$A37,"")</f>
        <v>Bourgogne aligoté</v>
      </c>
    </row>
    <row r="38" spans="1:4" x14ac:dyDescent="0.35">
      <c r="A38" t="s">
        <v>191</v>
      </c>
      <c r="B38" t="str">
        <f t="shared" si="1"/>
        <v>Bourgogne</v>
      </c>
      <c r="C38" t="str">
        <f>IF(COUNTIF(cave_Appelations!$A:$A,$A38)&gt;0,$A38,"")</f>
        <v/>
      </c>
      <c r="D38" t="s">
        <v>138</v>
      </c>
    </row>
    <row r="39" spans="1:4" x14ac:dyDescent="0.35">
      <c r="A39" t="s">
        <v>202</v>
      </c>
      <c r="B39" t="str">
        <f t="shared" si="1"/>
        <v>Bourgogne</v>
      </c>
      <c r="C39" t="str">
        <f>IF(COUNTIF(cave_Appelations!$A:$A,$A39)&gt;0,$A39,"")</f>
        <v/>
      </c>
      <c r="D39" t="s">
        <v>138</v>
      </c>
    </row>
    <row r="40" spans="1:4" x14ac:dyDescent="0.35">
      <c r="A40" t="s">
        <v>278</v>
      </c>
      <c r="B40" t="str">
        <f t="shared" si="1"/>
        <v>Bourgogne</v>
      </c>
      <c r="C40" t="str">
        <f>IF(COUNTIF(cave_Appelations!$A:$A,$A40)&gt;0,$A40,"")</f>
        <v/>
      </c>
      <c r="D40" t="s">
        <v>138</v>
      </c>
    </row>
    <row r="41" spans="1:4" x14ac:dyDescent="0.35">
      <c r="A41" t="s">
        <v>210</v>
      </c>
      <c r="B41" t="str">
        <f t="shared" si="1"/>
        <v>Bourgogne</v>
      </c>
      <c r="C41" t="str">
        <f>IF(COUNTIF(cave_Appelations!$A:$A,$A41)&gt;0,$A41,"")</f>
        <v/>
      </c>
      <c r="D41" t="s">
        <v>138</v>
      </c>
    </row>
    <row r="42" spans="1:4" x14ac:dyDescent="0.35">
      <c r="A42" t="s">
        <v>227</v>
      </c>
      <c r="B42" t="str">
        <f t="shared" si="1"/>
        <v>Bourgogne</v>
      </c>
      <c r="C42" t="str">
        <f>IF(COUNTIF(cave_Appelations!$A:$A,$A42)&gt;0,$A42,"")</f>
        <v/>
      </c>
      <c r="D42" t="s">
        <v>138</v>
      </c>
    </row>
    <row r="43" spans="1:4" x14ac:dyDescent="0.35">
      <c r="A43" t="s">
        <v>287</v>
      </c>
      <c r="B43" t="str">
        <f t="shared" si="1"/>
        <v>Bourgogne Epineuil</v>
      </c>
      <c r="C43" t="str">
        <f>IF(COUNTIF(cave_Appelations!$A:$A,$A43)&gt;0,$A43,"")</f>
        <v>Bourgogne Epineuil</v>
      </c>
    </row>
    <row r="44" spans="1:4" x14ac:dyDescent="0.35">
      <c r="A44" t="s">
        <v>240</v>
      </c>
      <c r="B44">
        <f t="shared" si="1"/>
        <v>0</v>
      </c>
      <c r="C44" t="str">
        <f>IF(COUNTIF(cave_Appelations!$A:$A,$A44)&gt;0,$A44,"")</f>
        <v/>
      </c>
    </row>
    <row r="45" spans="1:4" x14ac:dyDescent="0.35">
      <c r="A45" t="s">
        <v>197</v>
      </c>
      <c r="B45" t="str">
        <f t="shared" si="1"/>
        <v>Hautes Côtes de Nuits</v>
      </c>
      <c r="C45" t="str">
        <f>IF(COUNTIF(cave_Appelations!$A:$A,$A45)&gt;0,$A45,"")</f>
        <v/>
      </c>
      <c r="D45" t="s">
        <v>531</v>
      </c>
    </row>
    <row r="46" spans="1:4" x14ac:dyDescent="0.35">
      <c r="A46" t="s">
        <v>141</v>
      </c>
      <c r="B46" t="str">
        <f t="shared" si="1"/>
        <v>Bourgogne mousseux</v>
      </c>
      <c r="C46" t="str">
        <f>IF(COUNTIF(cave_Appelations!$A:$A,$A46)&gt;0,$A46,"")</f>
        <v>Bourgogne mousseux</v>
      </c>
    </row>
    <row r="47" spans="1:4" x14ac:dyDescent="0.35">
      <c r="A47" t="s">
        <v>139</v>
      </c>
      <c r="B47" t="str">
        <f t="shared" si="1"/>
        <v>Bourgogne Passe-tout-grains</v>
      </c>
      <c r="C47" t="str">
        <f>IF(COUNTIF(cave_Appelations!$A:$A,$A47)&gt;0,$A47,"")</f>
        <v>Bourgogne Passe-tout-grains</v>
      </c>
    </row>
    <row r="48" spans="1:4" x14ac:dyDescent="0.35">
      <c r="A48" t="s">
        <v>288</v>
      </c>
      <c r="B48" t="str">
        <f t="shared" si="1"/>
        <v>Bourgogne</v>
      </c>
      <c r="C48" t="str">
        <f>IF(COUNTIF(cave_Appelations!$A:$A,$A48)&gt;0,$A48,"")</f>
        <v/>
      </c>
      <c r="D48" t="s">
        <v>138</v>
      </c>
    </row>
    <row r="49" spans="1:4" x14ac:dyDescent="0.35">
      <c r="A49" t="s">
        <v>187</v>
      </c>
      <c r="B49" t="str">
        <f t="shared" si="1"/>
        <v>Bourgueil</v>
      </c>
      <c r="C49" t="str">
        <f>IF(COUNTIF(cave_Appelations!$A:$A,$A49)&gt;0,$A49,"")</f>
        <v>Bourgueil</v>
      </c>
    </row>
    <row r="50" spans="1:4" x14ac:dyDescent="0.35">
      <c r="A50" t="s">
        <v>180</v>
      </c>
      <c r="B50" t="str">
        <f t="shared" si="1"/>
        <v>Brouilly</v>
      </c>
      <c r="C50" t="str">
        <f>IF(COUNTIF(cave_Appelations!$A:$A,$A50)&gt;0,$A50,"")</f>
        <v>Brouilly</v>
      </c>
    </row>
    <row r="51" spans="1:4" x14ac:dyDescent="0.35">
      <c r="A51" t="s">
        <v>23</v>
      </c>
      <c r="B51" t="str">
        <f t="shared" si="1"/>
        <v>Brulhois</v>
      </c>
      <c r="C51" t="str">
        <f>IF(COUNTIF(cave_Appelations!$A:$A,$A51)&gt;0,$A51,"")</f>
        <v>Brulhois</v>
      </c>
    </row>
    <row r="52" spans="1:4" x14ac:dyDescent="0.35">
      <c r="A52" t="s">
        <v>283</v>
      </c>
      <c r="B52" t="str">
        <f t="shared" si="1"/>
        <v>Bugey</v>
      </c>
      <c r="C52" t="str">
        <f>IF(COUNTIF(cave_Appelations!$A:$A,$A52)&gt;0,$A52,"")</f>
        <v>Bugey</v>
      </c>
    </row>
    <row r="53" spans="1:4" x14ac:dyDescent="0.35">
      <c r="A53" t="s">
        <v>284</v>
      </c>
      <c r="B53" t="str">
        <f t="shared" si="1"/>
        <v>Bugey</v>
      </c>
      <c r="C53" t="str">
        <f>IF(COUNTIF(cave_Appelations!$A:$A,$A53)&gt;0,$A53,"")</f>
        <v/>
      </c>
      <c r="D53" t="s">
        <v>283</v>
      </c>
    </row>
    <row r="54" spans="1:4" x14ac:dyDescent="0.35">
      <c r="A54" t="s">
        <v>2</v>
      </c>
      <c r="B54" t="str">
        <f t="shared" si="1"/>
        <v>Buzet</v>
      </c>
      <c r="C54" t="str">
        <f>IF(COUNTIF(cave_Appelations!$A:$A,$A54)&gt;0,$A54,"")</f>
        <v>Buzet</v>
      </c>
    </row>
    <row r="55" spans="1:4" x14ac:dyDescent="0.35">
      <c r="A55" t="s">
        <v>26</v>
      </c>
      <c r="B55" t="str">
        <f t="shared" si="1"/>
        <v>Cabardès</v>
      </c>
      <c r="C55" t="str">
        <f>IF(COUNTIF(cave_Appelations!$A:$A,$A55)&gt;0,$A55,"")</f>
        <v>Cabardès</v>
      </c>
    </row>
    <row r="56" spans="1:4" x14ac:dyDescent="0.35">
      <c r="A56" t="s">
        <v>207</v>
      </c>
      <c r="B56" t="str">
        <f t="shared" si="1"/>
        <v>Cabernet d'Anjou</v>
      </c>
      <c r="C56" t="str">
        <f>IF(COUNTIF(cave_Appelations!$A:$A,$A56)&gt;0,$A56,"")</f>
        <v>Cabernet d'Anjou</v>
      </c>
    </row>
    <row r="57" spans="1:4" x14ac:dyDescent="0.35">
      <c r="A57" t="s">
        <v>82</v>
      </c>
      <c r="B57" t="str">
        <f t="shared" si="1"/>
        <v>Cadillac</v>
      </c>
      <c r="C57" t="str">
        <f>IF(COUNTIF(cave_Appelations!$A:$A,$A57)&gt;0,$A57,"")</f>
        <v>Cadillac</v>
      </c>
    </row>
    <row r="58" spans="1:4" x14ac:dyDescent="0.35">
      <c r="A58" t="s">
        <v>24</v>
      </c>
      <c r="B58" t="str">
        <f t="shared" si="1"/>
        <v>Cahors</v>
      </c>
      <c r="C58" t="str">
        <f>IF(COUNTIF(cave_Appelations!$A:$A,$A58)&gt;0,$A58,"")</f>
        <v>Cahors</v>
      </c>
    </row>
    <row r="59" spans="1:4" x14ac:dyDescent="0.35">
      <c r="A59" t="s">
        <v>222</v>
      </c>
      <c r="C59" t="str">
        <f>IF(COUNTIF(cave_Appelations!$A:$A,$A59)&gt;0,$A59,"")</f>
        <v/>
      </c>
      <c r="D59" t="s">
        <v>217</v>
      </c>
    </row>
    <row r="60" spans="1:4" x14ac:dyDescent="0.35">
      <c r="A60" t="s">
        <v>146</v>
      </c>
      <c r="B60" t="str">
        <f t="shared" ref="B60:B91" si="2">IF(C60="",D60,C60)</f>
        <v>Canon Fronsac</v>
      </c>
      <c r="C60" t="str">
        <f>IF(COUNTIF(cave_Appelations!$A:$A,$A60)&gt;0,$A60,"")</f>
        <v>Canon Fronsac</v>
      </c>
    </row>
    <row r="61" spans="1:4" x14ac:dyDescent="0.35">
      <c r="A61" t="s">
        <v>89</v>
      </c>
      <c r="B61" t="str">
        <f t="shared" si="2"/>
        <v>Cérons</v>
      </c>
      <c r="C61" t="str">
        <f>IF(COUNTIF(cave_Appelations!$A:$A,$A61)&gt;0,$A61,"")</f>
        <v>Cérons</v>
      </c>
    </row>
    <row r="62" spans="1:4" x14ac:dyDescent="0.35">
      <c r="A62" t="s">
        <v>123</v>
      </c>
      <c r="B62" t="str">
        <f t="shared" si="2"/>
        <v>Chablis</v>
      </c>
      <c r="C62" t="str">
        <f>IF(COUNTIF(cave_Appelations!$A:$A,$A62)&gt;0,$A62,"")</f>
        <v>Chablis</v>
      </c>
    </row>
    <row r="63" spans="1:4" x14ac:dyDescent="0.35">
      <c r="A63" t="s">
        <v>175</v>
      </c>
      <c r="B63" t="str">
        <f t="shared" si="2"/>
        <v>Chablis 1er Cru</v>
      </c>
      <c r="C63" t="str">
        <f>IF(COUNTIF(cave_Appelations!$A:$A,$A63)&gt;0,$A63,"")</f>
        <v/>
      </c>
      <c r="D63" t="s">
        <v>475</v>
      </c>
    </row>
    <row r="64" spans="1:4" x14ac:dyDescent="0.35">
      <c r="A64" t="s">
        <v>295</v>
      </c>
      <c r="B64" t="str">
        <f t="shared" si="2"/>
        <v>Chablis 1er Cru</v>
      </c>
      <c r="C64" t="str">
        <f>IF(COUNTIF(cave_Appelations!$A:$A,$A64)&gt;0,$A64,"")</f>
        <v/>
      </c>
      <c r="D64" t="s">
        <v>475</v>
      </c>
    </row>
    <row r="65" spans="1:4" x14ac:dyDescent="0.35">
      <c r="A65" t="s">
        <v>195</v>
      </c>
      <c r="B65" t="str">
        <f t="shared" si="2"/>
        <v>Châteauneuf-du-Pape</v>
      </c>
      <c r="C65" t="str">
        <f>IF(COUNTIF(cave_Appelations!$A:$A,$A65)&gt;0,$A65,"")</f>
        <v>Châteauneuf-du-Pape</v>
      </c>
    </row>
    <row r="66" spans="1:4" x14ac:dyDescent="0.35">
      <c r="A66" t="s">
        <v>149</v>
      </c>
      <c r="B66" t="str">
        <f t="shared" si="2"/>
        <v>Châtillon-en-Diois</v>
      </c>
      <c r="C66" t="str">
        <f>IF(COUNTIF(cave_Appelations!$A:$A,$A66)&gt;0,$A66,"")</f>
        <v>Châtillon-en-Diois</v>
      </c>
    </row>
    <row r="67" spans="1:4" x14ac:dyDescent="0.35">
      <c r="A67" t="s">
        <v>41</v>
      </c>
      <c r="B67" t="str">
        <f t="shared" si="2"/>
        <v>Cheverny</v>
      </c>
      <c r="C67" t="str">
        <f>IF(COUNTIF(cave_Appelations!$A:$A,$A67)&gt;0,$A67,"")</f>
        <v>Cheverny</v>
      </c>
    </row>
    <row r="68" spans="1:4" x14ac:dyDescent="0.35">
      <c r="A68" t="s">
        <v>166</v>
      </c>
      <c r="B68" t="str">
        <f t="shared" si="2"/>
        <v>Chinon</v>
      </c>
      <c r="C68" t="str">
        <f>IF(COUNTIF(cave_Appelations!$A:$A,$A68)&gt;0,$A68,"")</f>
        <v>Chinon</v>
      </c>
    </row>
    <row r="69" spans="1:4" x14ac:dyDescent="0.35">
      <c r="A69" t="s">
        <v>16</v>
      </c>
      <c r="B69" t="str">
        <f t="shared" si="2"/>
        <v>Clairette de Bellegarde</v>
      </c>
      <c r="C69" t="str">
        <f>IF(COUNTIF(cave_Appelations!$A:$A,$A69)&gt;0,$A69,"")</f>
        <v>Clairette de Bellegarde</v>
      </c>
    </row>
    <row r="70" spans="1:4" x14ac:dyDescent="0.35">
      <c r="A70" t="s">
        <v>109</v>
      </c>
      <c r="B70" t="str">
        <f t="shared" si="2"/>
        <v>Clairette de Die</v>
      </c>
      <c r="C70" t="str">
        <f>IF(COUNTIF(cave_Appelations!$A:$A,$A70)&gt;0,$A70,"")</f>
        <v>Clairette de Die</v>
      </c>
    </row>
    <row r="71" spans="1:4" x14ac:dyDescent="0.35">
      <c r="A71" t="s">
        <v>121</v>
      </c>
      <c r="B71" t="str">
        <f t="shared" si="2"/>
        <v>Clairette du Languedoc</v>
      </c>
      <c r="C71" t="str">
        <f>IF(COUNTIF(cave_Appelations!$A:$A,$A71)&gt;0,$A71,"")</f>
        <v>Clairette du Languedoc</v>
      </c>
    </row>
    <row r="72" spans="1:4" x14ac:dyDescent="0.35">
      <c r="A72" t="s">
        <v>250</v>
      </c>
      <c r="B72" t="str">
        <f t="shared" si="2"/>
        <v>Clairette du Languedoc</v>
      </c>
      <c r="C72" t="str">
        <f>IF(COUNTIF(cave_Appelations!$A:$A,$A72)&gt;0,$A72,"")</f>
        <v/>
      </c>
      <c r="D72" t="s">
        <v>121</v>
      </c>
    </row>
    <row r="73" spans="1:4" x14ac:dyDescent="0.35">
      <c r="A73" t="s">
        <v>122</v>
      </c>
      <c r="B73" t="str">
        <f t="shared" si="2"/>
        <v>Clairette du Languedoc</v>
      </c>
      <c r="C73" t="str">
        <f>IF(COUNTIF(cave_Appelations!$A:$A,$A73)&gt;0,$A73,"")</f>
        <v/>
      </c>
      <c r="D73" t="s">
        <v>121</v>
      </c>
    </row>
    <row r="74" spans="1:4" x14ac:dyDescent="0.35">
      <c r="A74" t="s">
        <v>246</v>
      </c>
      <c r="B74" t="str">
        <f t="shared" si="2"/>
        <v>Clairette du Languedoc</v>
      </c>
      <c r="C74" t="str">
        <f>IF(COUNTIF(cave_Appelations!$A:$A,$A74)&gt;0,$A74,"")</f>
        <v/>
      </c>
      <c r="D74" t="s">
        <v>121</v>
      </c>
    </row>
    <row r="75" spans="1:4" x14ac:dyDescent="0.35">
      <c r="A75" t="s">
        <v>242</v>
      </c>
      <c r="B75" t="str">
        <f t="shared" si="2"/>
        <v>Clairette du Languedoc</v>
      </c>
      <c r="C75" t="str">
        <f>IF(COUNTIF(cave_Appelations!$A:$A,$A75)&gt;0,$A75,"")</f>
        <v/>
      </c>
      <c r="D75" t="s">
        <v>121</v>
      </c>
    </row>
    <row r="76" spans="1:4" x14ac:dyDescent="0.35">
      <c r="A76" t="s">
        <v>256</v>
      </c>
      <c r="B76" t="str">
        <f t="shared" si="2"/>
        <v>Clairette du Languedoc</v>
      </c>
      <c r="C76" t="str">
        <f>IF(COUNTIF(cave_Appelations!$A:$A,$A76)&gt;0,$A76,"")</f>
        <v/>
      </c>
      <c r="D76" t="s">
        <v>121</v>
      </c>
    </row>
    <row r="77" spans="1:4" x14ac:dyDescent="0.35">
      <c r="A77" t="s">
        <v>279</v>
      </c>
      <c r="B77" t="str">
        <f t="shared" si="2"/>
        <v>Clos de Vougeot</v>
      </c>
      <c r="C77" t="str">
        <f>IF(COUNTIF(cave_Appelations!$A:$A,$A77)&gt;0,$A77,"")</f>
        <v/>
      </c>
      <c r="D77" t="s">
        <v>555</v>
      </c>
    </row>
    <row r="78" spans="1:4" x14ac:dyDescent="0.35">
      <c r="A78" t="s">
        <v>185</v>
      </c>
      <c r="B78" t="str">
        <f t="shared" si="2"/>
        <v>Collioure</v>
      </c>
      <c r="C78" t="str">
        <f>IF(COUNTIF(cave_Appelations!$A:$A,$A78)&gt;0,$A78,"")</f>
        <v>Collioure</v>
      </c>
    </row>
    <row r="79" spans="1:4" x14ac:dyDescent="0.35">
      <c r="A79" t="s">
        <v>96</v>
      </c>
      <c r="B79" t="str">
        <f t="shared" si="2"/>
        <v>Corbières</v>
      </c>
      <c r="C79" t="str">
        <f>IF(COUNTIF(cave_Appelations!$A:$A,$A79)&gt;0,$A79,"")</f>
        <v>Corbières</v>
      </c>
    </row>
    <row r="80" spans="1:4" x14ac:dyDescent="0.35">
      <c r="A80" t="s">
        <v>200</v>
      </c>
      <c r="B80" t="str">
        <f t="shared" si="2"/>
        <v>Corbières-Boutenac</v>
      </c>
      <c r="C80" t="str">
        <f>IF(COUNTIF(cave_Appelations!$A:$A,$A80)&gt;0,$A80,"")</f>
        <v>Corbières-Boutenac</v>
      </c>
    </row>
    <row r="81" spans="1:4" x14ac:dyDescent="0.35">
      <c r="A81" t="s">
        <v>154</v>
      </c>
      <c r="B81" t="str">
        <f t="shared" si="2"/>
        <v>Cornas</v>
      </c>
      <c r="C81" t="str">
        <f>IF(COUNTIF(cave_Appelations!$A:$A,$A81)&gt;0,$A81,"")</f>
        <v>Cornas</v>
      </c>
    </row>
    <row r="82" spans="1:4" x14ac:dyDescent="0.35">
      <c r="A82" t="s">
        <v>8</v>
      </c>
      <c r="B82" t="str">
        <f t="shared" si="2"/>
        <v>Costières de Nîmes</v>
      </c>
      <c r="C82" t="str">
        <f>IF(COUNTIF(cave_Appelations!$A:$A,$A82)&gt;0,$A82,"")</f>
        <v>Costières de Nîmes</v>
      </c>
    </row>
    <row r="83" spans="1:4" x14ac:dyDescent="0.35">
      <c r="A83" t="s">
        <v>277</v>
      </c>
      <c r="B83" t="str">
        <f t="shared" si="2"/>
        <v>Côtes de Brouilly</v>
      </c>
      <c r="C83" t="str">
        <f>IF(COUNTIF(cave_Appelations!$A:$A,$A83)&gt;0,$A83,"")</f>
        <v/>
      </c>
      <c r="D83" t="s">
        <v>335</v>
      </c>
    </row>
    <row r="84" spans="1:4" x14ac:dyDescent="0.35">
      <c r="A84" t="s">
        <v>142</v>
      </c>
      <c r="B84" t="str">
        <f t="shared" si="2"/>
        <v>Coteaux Bourguignons</v>
      </c>
      <c r="C84" t="str">
        <f>IF(COUNTIF(cave_Appelations!$A:$A,$A84)&gt;0,$A84,"")</f>
        <v/>
      </c>
      <c r="D84" t="s">
        <v>527</v>
      </c>
    </row>
    <row r="85" spans="1:4" x14ac:dyDescent="0.35">
      <c r="A85" t="s">
        <v>3</v>
      </c>
      <c r="B85" t="str">
        <f t="shared" si="2"/>
        <v>Coteaux d'Aix-en-Provence</v>
      </c>
      <c r="C85" t="str">
        <f>IF(COUNTIF(cave_Appelations!$A:$A,$A85)&gt;0,$A85,"")</f>
        <v>Coteaux d'Aix-en-Provence</v>
      </c>
    </row>
    <row r="86" spans="1:4" x14ac:dyDescent="0.35">
      <c r="A86" t="s">
        <v>110</v>
      </c>
      <c r="B86" t="str">
        <f t="shared" si="2"/>
        <v>Coteaux de Die</v>
      </c>
      <c r="C86" t="str">
        <f>IF(COUNTIF(cave_Appelations!$A:$A,$A86)&gt;0,$A86,"")</f>
        <v>Coteaux de Die</v>
      </c>
    </row>
    <row r="87" spans="1:4" x14ac:dyDescent="0.35">
      <c r="A87" t="s">
        <v>267</v>
      </c>
      <c r="B87" t="str">
        <f t="shared" si="2"/>
        <v>Coteaux de Saumur</v>
      </c>
      <c r="C87" t="str">
        <f>IF(COUNTIF(cave_Appelations!$A:$A,$A87)&gt;0,$A87,"")</f>
        <v>Coteaux de Saumur</v>
      </c>
    </row>
    <row r="88" spans="1:4" x14ac:dyDescent="0.35">
      <c r="A88" t="s">
        <v>220</v>
      </c>
      <c r="B88" t="str">
        <f t="shared" si="2"/>
        <v>Coteaux du Layon</v>
      </c>
      <c r="C88" t="str">
        <f>IF(COUNTIF(cave_Appelations!$A:$A,$A88)&gt;0,$A88,"")</f>
        <v>Coteaux du Layon</v>
      </c>
    </row>
    <row r="89" spans="1:4" x14ac:dyDescent="0.35">
      <c r="A89" t="s">
        <v>269</v>
      </c>
      <c r="B89" t="str">
        <f t="shared" si="2"/>
        <v>Coteaux du Layon</v>
      </c>
      <c r="C89" t="str">
        <f>IF(COUNTIF(cave_Appelations!$A:$A,$A89)&gt;0,$A89,"")</f>
        <v/>
      </c>
      <c r="D89" t="s">
        <v>220</v>
      </c>
    </row>
    <row r="90" spans="1:4" x14ac:dyDescent="0.35">
      <c r="A90" t="s">
        <v>221</v>
      </c>
      <c r="B90" t="str">
        <f t="shared" si="2"/>
        <v>Coteaux du Layon</v>
      </c>
      <c r="C90" t="str">
        <f>IF(COUNTIF(cave_Appelations!$A:$A,$A90)&gt;0,$A90,"")</f>
        <v/>
      </c>
      <c r="D90" t="s">
        <v>220</v>
      </c>
    </row>
    <row r="91" spans="1:4" x14ac:dyDescent="0.35">
      <c r="A91" t="s">
        <v>293</v>
      </c>
      <c r="B91" t="str">
        <f t="shared" si="2"/>
        <v>Coteaux du Layon</v>
      </c>
      <c r="C91" t="str">
        <f>IF(COUNTIF(cave_Appelations!$A:$A,$A91)&gt;0,$A91,"")</f>
        <v/>
      </c>
      <c r="D91" t="s">
        <v>220</v>
      </c>
    </row>
    <row r="92" spans="1:4" x14ac:dyDescent="0.35">
      <c r="A92" t="s">
        <v>292</v>
      </c>
      <c r="B92" t="str">
        <f t="shared" ref="B92:B123" si="3">IF(C92="",D92,C92)</f>
        <v>Coteaux du Layon</v>
      </c>
      <c r="C92" t="str">
        <f>IF(COUNTIF(cave_Appelations!$A:$A,$A92)&gt;0,$A92,"")</f>
        <v/>
      </c>
      <c r="D92" t="s">
        <v>220</v>
      </c>
    </row>
    <row r="93" spans="1:4" x14ac:dyDescent="0.35">
      <c r="A93" t="s">
        <v>290</v>
      </c>
      <c r="B93" t="str">
        <f t="shared" si="3"/>
        <v>Coteaux du Layon</v>
      </c>
      <c r="C93" t="str">
        <f>IF(COUNTIF(cave_Appelations!$A:$A,$A93)&gt;0,$A93,"")</f>
        <v/>
      </c>
      <c r="D93" t="s">
        <v>220</v>
      </c>
    </row>
    <row r="94" spans="1:4" x14ac:dyDescent="0.35">
      <c r="A94" t="s">
        <v>46</v>
      </c>
      <c r="B94" t="str">
        <f t="shared" si="3"/>
        <v>Coteaux du Lyonnais</v>
      </c>
      <c r="C94" t="str">
        <f>IF(COUNTIF(cave_Appelations!$A:$A,$A94)&gt;0,$A94,"")</f>
        <v>Coteaux du Lyonnais</v>
      </c>
    </row>
    <row r="95" spans="1:4" x14ac:dyDescent="0.35">
      <c r="A95" t="s">
        <v>43</v>
      </c>
      <c r="B95" t="str">
        <f t="shared" si="3"/>
        <v>Coteaux du Quercy</v>
      </c>
      <c r="C95" t="str">
        <f>IF(COUNTIF(cave_Appelations!$A:$A,$A95)&gt;0,$A95,"")</f>
        <v>Coteaux du Quercy</v>
      </c>
    </row>
    <row r="96" spans="1:4" x14ac:dyDescent="0.35">
      <c r="A96" t="s">
        <v>20</v>
      </c>
      <c r="B96" t="str">
        <f t="shared" si="3"/>
        <v>Coteaux varois en Provence</v>
      </c>
      <c r="C96" t="str">
        <f>IF(COUNTIF(cave_Appelations!$A:$A,$A96)&gt;0,$A96,"")</f>
        <v>Coteaux varois en Provence</v>
      </c>
    </row>
    <row r="97" spans="1:4" x14ac:dyDescent="0.35">
      <c r="A97" t="s">
        <v>57</v>
      </c>
      <c r="B97" t="str">
        <f t="shared" si="3"/>
        <v>Côtes de Bergerac</v>
      </c>
      <c r="C97" t="str">
        <f>IF(COUNTIF(cave_Appelations!$A:$A,$A97)&gt;0,$A97,"")</f>
        <v>Côtes de Bergerac</v>
      </c>
    </row>
    <row r="98" spans="1:4" x14ac:dyDescent="0.35">
      <c r="A98" t="s">
        <v>94</v>
      </c>
      <c r="B98" t="str">
        <f t="shared" si="3"/>
        <v>Côtes de Blaye</v>
      </c>
      <c r="C98" t="str">
        <f>IF(COUNTIF(cave_Appelations!$A:$A,$A98)&gt;0,$A98,"")</f>
        <v>Côtes de Blaye</v>
      </c>
    </row>
    <row r="99" spans="1:4" x14ac:dyDescent="0.35">
      <c r="A99" t="s">
        <v>77</v>
      </c>
      <c r="B99" t="str">
        <f t="shared" si="3"/>
        <v>Côtes de Bordeaux</v>
      </c>
      <c r="C99" t="str">
        <f>IF(COUNTIF(cave_Appelations!$A:$A,$A99)&gt;0,$A99,"")</f>
        <v>Côtes de Bordeaux</v>
      </c>
    </row>
    <row r="100" spans="1:4" x14ac:dyDescent="0.35">
      <c r="A100" t="s">
        <v>95</v>
      </c>
      <c r="B100" t="str">
        <f t="shared" si="3"/>
        <v>Côtes de Bordeaux</v>
      </c>
      <c r="C100" t="str">
        <f>IF(COUNTIF(cave_Appelations!$A:$A,$A100)&gt;0,$A100,"")</f>
        <v/>
      </c>
      <c r="D100" t="s">
        <v>77</v>
      </c>
    </row>
    <row r="101" spans="1:4" x14ac:dyDescent="0.35">
      <c r="A101" t="s">
        <v>83</v>
      </c>
      <c r="B101" t="str">
        <f t="shared" si="3"/>
        <v>Côtes de Bordeaux</v>
      </c>
      <c r="C101" t="str">
        <f>IF(COUNTIF(cave_Appelations!$A:$A,$A101)&gt;0,$A101,"")</f>
        <v/>
      </c>
      <c r="D101" t="s">
        <v>77</v>
      </c>
    </row>
    <row r="102" spans="1:4" x14ac:dyDescent="0.35">
      <c r="A102" t="s">
        <v>78</v>
      </c>
      <c r="B102" t="str">
        <f t="shared" si="3"/>
        <v>Côtes de Bordeaux</v>
      </c>
      <c r="C102" t="str">
        <f>IF(COUNTIF(cave_Appelations!$A:$A,$A102)&gt;0,$A102,"")</f>
        <v/>
      </c>
      <c r="D102" t="s">
        <v>77</v>
      </c>
    </row>
    <row r="103" spans="1:4" x14ac:dyDescent="0.35">
      <c r="A103" t="s">
        <v>116</v>
      </c>
      <c r="B103" t="str">
        <f t="shared" si="3"/>
        <v>Côtes de Bordeaux</v>
      </c>
      <c r="C103" t="str">
        <f>IF(COUNTIF(cave_Appelations!$A:$A,$A103)&gt;0,$A103,"")</f>
        <v/>
      </c>
      <c r="D103" t="s">
        <v>77</v>
      </c>
    </row>
    <row r="104" spans="1:4" x14ac:dyDescent="0.35">
      <c r="A104" t="s">
        <v>92</v>
      </c>
      <c r="B104" t="str">
        <f t="shared" si="3"/>
        <v>Côtes de Bordeaux-Saint-Macaire</v>
      </c>
      <c r="C104" t="str">
        <f>IF(COUNTIF(cave_Appelations!$A:$A,$A104)&gt;0,$A104,"")</f>
        <v>Côtes de Bordeaux-Saint-Macaire</v>
      </c>
    </row>
    <row r="105" spans="1:4" x14ac:dyDescent="0.35">
      <c r="A105" t="s">
        <v>74</v>
      </c>
      <c r="B105" t="str">
        <f t="shared" si="3"/>
        <v>Côtes de Bourg, Bourg et Bourgeais</v>
      </c>
      <c r="C105" t="str">
        <f>IF(COUNTIF(cave_Appelations!$A:$A,$A105)&gt;0,$A105,"")</f>
        <v/>
      </c>
      <c r="D105" t="s">
        <v>362</v>
      </c>
    </row>
    <row r="106" spans="1:4" x14ac:dyDescent="0.35">
      <c r="A106" t="s">
        <v>4</v>
      </c>
      <c r="B106" t="str">
        <f t="shared" si="3"/>
        <v>Côtes de Duras</v>
      </c>
      <c r="C106" t="str">
        <f>IF(COUNTIF(cave_Appelations!$A:$A,$A106)&gt;0,$A106,"")</f>
        <v>Côtes de Duras</v>
      </c>
    </row>
    <row r="107" spans="1:4" x14ac:dyDescent="0.35">
      <c r="A107" t="s">
        <v>171</v>
      </c>
      <c r="B107" t="str">
        <f t="shared" si="3"/>
        <v>Côtes de Montravel</v>
      </c>
      <c r="C107" t="str">
        <f>IF(COUNTIF(cave_Appelations!$A:$A,$A107)&gt;0,$A107,"")</f>
        <v>Côtes de Montravel</v>
      </c>
    </row>
    <row r="108" spans="1:4" x14ac:dyDescent="0.35">
      <c r="A108" t="s">
        <v>12</v>
      </c>
      <c r="B108" t="str">
        <f t="shared" si="3"/>
        <v>Côtes de Provence</v>
      </c>
      <c r="C108" t="str">
        <f>IF(COUNTIF(cave_Appelations!$A:$A,$A108)&gt;0,$A108,"")</f>
        <v>Côtes de Provence</v>
      </c>
    </row>
    <row r="109" spans="1:4" x14ac:dyDescent="0.35">
      <c r="A109" t="s">
        <v>177</v>
      </c>
      <c r="B109" t="str">
        <f t="shared" si="3"/>
        <v>Côtes de Provence</v>
      </c>
      <c r="C109" t="str">
        <f>IF(COUNTIF(cave_Appelations!$A:$A,$A109)&gt;0,$A109,"")</f>
        <v/>
      </c>
      <c r="D109" t="s">
        <v>12</v>
      </c>
    </row>
    <row r="110" spans="1:4" x14ac:dyDescent="0.35">
      <c r="A110" t="s">
        <v>44</v>
      </c>
      <c r="B110" t="str">
        <f t="shared" si="3"/>
        <v>Côtes du Forez</v>
      </c>
      <c r="C110" t="str">
        <f>IF(COUNTIF(cave_Appelations!$A:$A,$A110)&gt;0,$A110,"")</f>
        <v>Côtes du Forez</v>
      </c>
    </row>
    <row r="111" spans="1:4" x14ac:dyDescent="0.35">
      <c r="A111" t="s">
        <v>152</v>
      </c>
      <c r="B111" t="str">
        <f t="shared" si="3"/>
        <v>Côtes du Jura</v>
      </c>
      <c r="C111" t="str">
        <f>IF(COUNTIF(cave_Appelations!$A:$A,$A111)&gt;0,$A111,"")</f>
        <v>Côtes du Jura</v>
      </c>
    </row>
    <row r="112" spans="1:4" x14ac:dyDescent="0.35">
      <c r="A112" t="s">
        <v>5</v>
      </c>
      <c r="B112" t="str">
        <f t="shared" si="3"/>
        <v>Côtes du Marmandais</v>
      </c>
      <c r="C112" t="str">
        <f>IF(COUNTIF(cave_Appelations!$A:$A,$A112)&gt;0,$A112,"")</f>
        <v>Côtes du Marmandais</v>
      </c>
    </row>
    <row r="113" spans="1:4" x14ac:dyDescent="0.35">
      <c r="A113" t="s">
        <v>1</v>
      </c>
      <c r="B113" t="str">
        <f t="shared" si="3"/>
        <v>Côtes du Rhône</v>
      </c>
      <c r="C113" t="str">
        <f>IF(COUNTIF(cave_Appelations!$A:$A,$A113)&gt;0,$A113,"")</f>
        <v>Côtes du Rhône</v>
      </c>
    </row>
    <row r="114" spans="1:4" x14ac:dyDescent="0.35">
      <c r="A114" t="s">
        <v>87</v>
      </c>
      <c r="B114" t="str">
        <f t="shared" si="3"/>
        <v>Côtes du Rhône Villages</v>
      </c>
      <c r="C114" t="str">
        <f>IF(COUNTIF(cave_Appelations!$A:$A,$A114)&gt;0,$A114,"")</f>
        <v>Côtes du Rhône Villages</v>
      </c>
    </row>
    <row r="115" spans="1:4" x14ac:dyDescent="0.35">
      <c r="A115" t="s">
        <v>192</v>
      </c>
      <c r="B115" t="str">
        <f t="shared" si="3"/>
        <v>Côtes du Rhône Villages</v>
      </c>
      <c r="C115" t="str">
        <f>IF(COUNTIF(cave_Appelations!$A:$A,$A115)&gt;0,$A115,"")</f>
        <v/>
      </c>
      <c r="D115" t="s">
        <v>87</v>
      </c>
    </row>
    <row r="116" spans="1:4" x14ac:dyDescent="0.35">
      <c r="A116" t="s">
        <v>294</v>
      </c>
      <c r="B116" t="str">
        <f t="shared" si="3"/>
        <v>Côtes du Rhône Villages</v>
      </c>
      <c r="C116" t="str">
        <f>IF(COUNTIF(cave_Appelations!$A:$A,$A116)&gt;0,$A116,"")</f>
        <v/>
      </c>
      <c r="D116" t="s">
        <v>87</v>
      </c>
    </row>
    <row r="117" spans="1:4" x14ac:dyDescent="0.35">
      <c r="A117" t="s">
        <v>128</v>
      </c>
      <c r="B117" t="str">
        <f t="shared" si="3"/>
        <v>Côtes du Rhône Villages</v>
      </c>
      <c r="C117" t="str">
        <f>IF(COUNTIF(cave_Appelations!$A:$A,$A117)&gt;0,$A117,"")</f>
        <v/>
      </c>
      <c r="D117" t="s">
        <v>87</v>
      </c>
    </row>
    <row r="118" spans="1:4" x14ac:dyDescent="0.35">
      <c r="A118" t="s">
        <v>201</v>
      </c>
      <c r="B118" t="str">
        <f t="shared" si="3"/>
        <v>Côtes du Rhône Villages</v>
      </c>
      <c r="C118" t="str">
        <f>IF(COUNTIF(cave_Appelations!$A:$A,$A118)&gt;0,$A118,"")</f>
        <v/>
      </c>
      <c r="D118" t="s">
        <v>87</v>
      </c>
    </row>
    <row r="119" spans="1:4" x14ac:dyDescent="0.35">
      <c r="A119" t="s">
        <v>133</v>
      </c>
      <c r="B119" t="str">
        <f t="shared" si="3"/>
        <v>Côtes du Rhône Villages</v>
      </c>
      <c r="C119" t="str">
        <f>IF(COUNTIF(cave_Appelations!$A:$A,$A119)&gt;0,$A119,"")</f>
        <v/>
      </c>
      <c r="D119" t="s">
        <v>87</v>
      </c>
    </row>
    <row r="120" spans="1:4" x14ac:dyDescent="0.35">
      <c r="A120" t="s">
        <v>260</v>
      </c>
      <c r="B120" t="str">
        <f t="shared" si="3"/>
        <v>Côtes du Rhône Villages</v>
      </c>
      <c r="C120" t="str">
        <f>IF(COUNTIF(cave_Appelations!$A:$A,$A120)&gt;0,$A120,"")</f>
        <v/>
      </c>
      <c r="D120" t="s">
        <v>87</v>
      </c>
    </row>
    <row r="121" spans="1:4" x14ac:dyDescent="0.35">
      <c r="A121" t="s">
        <v>188</v>
      </c>
      <c r="B121" t="str">
        <f t="shared" si="3"/>
        <v>Côtes du Rhône Villages</v>
      </c>
      <c r="C121" t="str">
        <f>IF(COUNTIF(cave_Appelations!$A:$A,$A121)&gt;0,$A121,"")</f>
        <v/>
      </c>
      <c r="D121" t="s">
        <v>87</v>
      </c>
    </row>
    <row r="122" spans="1:4" x14ac:dyDescent="0.35">
      <c r="A122" t="s">
        <v>235</v>
      </c>
      <c r="B122" t="str">
        <f t="shared" si="3"/>
        <v>Côtes du Rhône Villages</v>
      </c>
      <c r="C122" t="str">
        <f>IF(COUNTIF(cave_Appelations!$A:$A,$A122)&gt;0,$A122,"")</f>
        <v/>
      </c>
      <c r="D122" t="s">
        <v>87</v>
      </c>
    </row>
    <row r="123" spans="1:4" x14ac:dyDescent="0.35">
      <c r="A123" t="s">
        <v>186</v>
      </c>
      <c r="B123" t="str">
        <f t="shared" si="3"/>
        <v>Côtes du Rhône Villages</v>
      </c>
      <c r="C123" t="str">
        <f>IF(COUNTIF(cave_Appelations!$A:$A,$A123)&gt;0,$A123,"")</f>
        <v/>
      </c>
      <c r="D123" t="s">
        <v>87</v>
      </c>
    </row>
    <row r="124" spans="1:4" x14ac:dyDescent="0.35">
      <c r="A124" t="s">
        <v>286</v>
      </c>
      <c r="B124" t="str">
        <f t="shared" ref="B124:B155" si="4">IF(C124="",D124,C124)</f>
        <v>Côtes du Rhône Villages</v>
      </c>
      <c r="C124" t="str">
        <f>IF(COUNTIF(cave_Appelations!$A:$A,$A124)&gt;0,$A124,"")</f>
        <v/>
      </c>
      <c r="D124" t="s">
        <v>87</v>
      </c>
    </row>
    <row r="125" spans="1:4" x14ac:dyDescent="0.35">
      <c r="A125" t="s">
        <v>216</v>
      </c>
      <c r="B125" t="str">
        <f t="shared" si="4"/>
        <v>Côtes du Rhône Villages</v>
      </c>
      <c r="C125" t="str">
        <f>IF(COUNTIF(cave_Appelations!$A:$A,$A125)&gt;0,$A125,"")</f>
        <v/>
      </c>
      <c r="D125" t="s">
        <v>87</v>
      </c>
    </row>
    <row r="126" spans="1:4" x14ac:dyDescent="0.35">
      <c r="A126" t="s">
        <v>114</v>
      </c>
      <c r="B126" t="str">
        <f t="shared" si="4"/>
        <v>Côtes du Rhône Villages</v>
      </c>
      <c r="C126" t="str">
        <f>IF(COUNTIF(cave_Appelations!$A:$A,$A126)&gt;0,$A126,"")</f>
        <v/>
      </c>
      <c r="D126" t="s">
        <v>87</v>
      </c>
    </row>
    <row r="127" spans="1:4" x14ac:dyDescent="0.35">
      <c r="A127" t="s">
        <v>88</v>
      </c>
      <c r="B127" t="str">
        <f t="shared" si="4"/>
        <v>Côtes du Rhône Villages</v>
      </c>
      <c r="C127" t="str">
        <f>IF(COUNTIF(cave_Appelations!$A:$A,$A127)&gt;0,$A127,"")</f>
        <v/>
      </c>
      <c r="D127" t="s">
        <v>87</v>
      </c>
    </row>
    <row r="128" spans="1:4" x14ac:dyDescent="0.35">
      <c r="A128" t="s">
        <v>182</v>
      </c>
      <c r="B128" t="str">
        <f t="shared" si="4"/>
        <v>Côtes du Rhône Villages</v>
      </c>
      <c r="C128" t="str">
        <f>IF(COUNTIF(cave_Appelations!$A:$A,$A128)&gt;0,$A128,"")</f>
        <v/>
      </c>
      <c r="D128" t="s">
        <v>87</v>
      </c>
    </row>
    <row r="129" spans="1:4" x14ac:dyDescent="0.35">
      <c r="A129" t="s">
        <v>170</v>
      </c>
      <c r="B129" t="str">
        <f t="shared" si="4"/>
        <v>Côtes du Rhône Villages</v>
      </c>
      <c r="C129" t="str">
        <f>IF(COUNTIF(cave_Appelations!$A:$A,$A129)&gt;0,$A129,"")</f>
        <v/>
      </c>
      <c r="D129" t="s">
        <v>87</v>
      </c>
    </row>
    <row r="130" spans="1:4" x14ac:dyDescent="0.35">
      <c r="A130" t="s">
        <v>120</v>
      </c>
      <c r="B130" t="str">
        <f t="shared" si="4"/>
        <v>Côtes du Rhône Villages</v>
      </c>
      <c r="C130" t="str">
        <f>IF(COUNTIF(cave_Appelations!$A:$A,$A130)&gt;0,$A130,"")</f>
        <v/>
      </c>
      <c r="D130" t="s">
        <v>87</v>
      </c>
    </row>
    <row r="131" spans="1:4" x14ac:dyDescent="0.35">
      <c r="A131" t="s">
        <v>204</v>
      </c>
      <c r="B131" t="str">
        <f t="shared" si="4"/>
        <v>Côtes du Rhône Villages</v>
      </c>
      <c r="C131" t="str">
        <f>IF(COUNTIF(cave_Appelations!$A:$A,$A131)&gt;0,$A131,"")</f>
        <v/>
      </c>
      <c r="D131" t="s">
        <v>87</v>
      </c>
    </row>
    <row r="132" spans="1:4" x14ac:dyDescent="0.35">
      <c r="A132" t="s">
        <v>131</v>
      </c>
      <c r="B132" t="str">
        <f t="shared" si="4"/>
        <v>Côtes du Rhône Villages</v>
      </c>
      <c r="C132" t="str">
        <f>IF(COUNTIF(cave_Appelations!$A:$A,$A132)&gt;0,$A132,"")</f>
        <v/>
      </c>
      <c r="D132" t="s">
        <v>87</v>
      </c>
    </row>
    <row r="133" spans="1:4" x14ac:dyDescent="0.35">
      <c r="A133" t="s">
        <v>64</v>
      </c>
      <c r="B133" t="str">
        <f t="shared" si="4"/>
        <v>Côtes du Roussillon</v>
      </c>
      <c r="C133" t="str">
        <f>IF(COUNTIF(cave_Appelations!$A:$A,$A133)&gt;0,$A133,"")</f>
        <v>Côtes du Roussillon</v>
      </c>
    </row>
    <row r="134" spans="1:4" x14ac:dyDescent="0.35">
      <c r="A134" t="s">
        <v>65</v>
      </c>
      <c r="B134" t="str">
        <f t="shared" si="4"/>
        <v>Côtes du Roussillon Villages</v>
      </c>
      <c r="C134" t="str">
        <f>IF(COUNTIF(cave_Appelations!$A:$A,$A134)&gt;0,$A134,"")</f>
        <v>Côtes du Roussillon Villages</v>
      </c>
    </row>
    <row r="135" spans="1:4" x14ac:dyDescent="0.35">
      <c r="A135" t="s">
        <v>91</v>
      </c>
      <c r="B135" t="str">
        <f t="shared" si="4"/>
        <v>Côtes du Roussillon Villages</v>
      </c>
      <c r="C135" t="str">
        <f>IF(COUNTIF(cave_Appelations!$A:$A,$A135)&gt;0,$A135,"")</f>
        <v/>
      </c>
      <c r="D135" t="s">
        <v>65</v>
      </c>
    </row>
    <row r="136" spans="1:4" x14ac:dyDescent="0.35">
      <c r="A136" t="s">
        <v>205</v>
      </c>
      <c r="B136" t="str">
        <f t="shared" si="4"/>
        <v>Côtes du Roussillon Villages</v>
      </c>
      <c r="C136" t="str">
        <f>IF(COUNTIF(cave_Appelations!$A:$A,$A136)&gt;0,$A136,"")</f>
        <v/>
      </c>
      <c r="D136" t="s">
        <v>65</v>
      </c>
    </row>
    <row r="137" spans="1:4" x14ac:dyDescent="0.35">
      <c r="A137" t="s">
        <v>255</v>
      </c>
      <c r="B137" t="str">
        <f t="shared" si="4"/>
        <v>Côtes du Roussillon Villages</v>
      </c>
      <c r="C137" t="str">
        <f>IF(COUNTIF(cave_Appelations!$A:$A,$A137)&gt;0,$A137,"")</f>
        <v/>
      </c>
      <c r="D137" t="s">
        <v>65</v>
      </c>
    </row>
    <row r="138" spans="1:4" x14ac:dyDescent="0.35">
      <c r="A138" t="s">
        <v>158</v>
      </c>
      <c r="B138" t="str">
        <f t="shared" si="4"/>
        <v>Côtes du Roussillon Villages</v>
      </c>
      <c r="C138" t="str">
        <f>IF(COUNTIF(cave_Appelations!$A:$A,$A138)&gt;0,$A138,"")</f>
        <v/>
      </c>
      <c r="D138" t="s">
        <v>65</v>
      </c>
    </row>
    <row r="139" spans="1:4" x14ac:dyDescent="0.35">
      <c r="A139" t="s">
        <v>25</v>
      </c>
      <c r="B139" t="str">
        <f t="shared" si="4"/>
        <v>Côtes du Vivarais</v>
      </c>
      <c r="C139" t="str">
        <f>IF(COUNTIF(cave_Appelations!$A:$A,$A139)&gt;0,$A139,"")</f>
        <v>Côtes du Vivarais</v>
      </c>
    </row>
    <row r="140" spans="1:4" x14ac:dyDescent="0.35">
      <c r="A140" t="s">
        <v>218</v>
      </c>
      <c r="B140" t="str">
        <f t="shared" si="4"/>
        <v>Cour-Cheverny</v>
      </c>
      <c r="C140" t="str">
        <f>IF(COUNTIF(cave_Appelations!$A:$A,$A140)&gt;0,$A140,"")</f>
        <v>Cour-Cheverny</v>
      </c>
    </row>
    <row r="141" spans="1:4" x14ac:dyDescent="0.35">
      <c r="A141" t="s">
        <v>102</v>
      </c>
      <c r="B141" t="str">
        <f t="shared" si="4"/>
        <v>Crémant d'Alsace</v>
      </c>
      <c r="C141" t="str">
        <f>IF(COUNTIF(cave_Appelations!$A:$A,$A141)&gt;0,$A141,"")</f>
        <v/>
      </c>
      <c r="D141" t="s">
        <v>308</v>
      </c>
    </row>
    <row r="142" spans="1:4" x14ac:dyDescent="0.35">
      <c r="A142" t="s">
        <v>52</v>
      </c>
      <c r="B142" t="str">
        <f t="shared" si="4"/>
        <v>Crémant de Bordeaux</v>
      </c>
      <c r="C142" t="str">
        <f>IF(COUNTIF(cave_Appelations!$A:$A,$A142)&gt;0,$A142,"")</f>
        <v>Crémant de Bordeaux</v>
      </c>
    </row>
    <row r="143" spans="1:4" x14ac:dyDescent="0.35">
      <c r="A143" t="s">
        <v>124</v>
      </c>
      <c r="B143" t="str">
        <f t="shared" si="4"/>
        <v>Crémant de Bourgogne</v>
      </c>
      <c r="C143" t="str">
        <f>IF(COUNTIF(cave_Appelations!$A:$A,$A143)&gt;0,$A143,"")</f>
        <v>Crémant de Bourgogne</v>
      </c>
    </row>
    <row r="144" spans="1:4" x14ac:dyDescent="0.35">
      <c r="A144" t="s">
        <v>111</v>
      </c>
      <c r="B144" t="str">
        <f t="shared" si="4"/>
        <v>Crémant de Die</v>
      </c>
      <c r="C144" t="str">
        <f>IF(COUNTIF(cave_Appelations!$A:$A,$A144)&gt;0,$A144,"")</f>
        <v>Crémant de Die</v>
      </c>
    </row>
    <row r="145" spans="1:4" x14ac:dyDescent="0.35">
      <c r="A145" t="s">
        <v>126</v>
      </c>
      <c r="B145" t="str">
        <f t="shared" si="4"/>
        <v>Crémant de Limoux</v>
      </c>
      <c r="C145" t="str">
        <f>IF(COUNTIF(cave_Appelations!$A:$A,$A145)&gt;0,$A145,"")</f>
        <v>Crémant de Limoux</v>
      </c>
    </row>
    <row r="146" spans="1:4" x14ac:dyDescent="0.35">
      <c r="A146" t="s">
        <v>167</v>
      </c>
      <c r="B146" t="str">
        <f t="shared" si="4"/>
        <v>Crémant de Loire</v>
      </c>
      <c r="C146" t="str">
        <f>IF(COUNTIF(cave_Appelations!$A:$A,$A146)&gt;0,$A146,"")</f>
        <v>Crémant de Loire</v>
      </c>
    </row>
    <row r="147" spans="1:4" x14ac:dyDescent="0.35">
      <c r="A147" t="s">
        <v>151</v>
      </c>
      <c r="B147" t="str">
        <f t="shared" si="4"/>
        <v>Crémant du Jura</v>
      </c>
      <c r="C147" t="str">
        <f>IF(COUNTIF(cave_Appelations!$A:$A,$A147)&gt;0,$A147,"")</f>
        <v>Crémant du Jura</v>
      </c>
    </row>
    <row r="148" spans="1:4" x14ac:dyDescent="0.35">
      <c r="A148" t="s">
        <v>165</v>
      </c>
      <c r="B148" t="str">
        <f t="shared" si="4"/>
        <v>Crozes-Hermitage</v>
      </c>
      <c r="C148" t="str">
        <f>IF(COUNTIF(cave_Appelations!$A:$A,$A148)&gt;0,$A148,"")</f>
        <v/>
      </c>
      <c r="D148" t="s">
        <v>792</v>
      </c>
    </row>
    <row r="149" spans="1:4" x14ac:dyDescent="0.35">
      <c r="A149" t="s">
        <v>28</v>
      </c>
      <c r="B149" t="str">
        <f t="shared" si="4"/>
        <v>Entraygues - Le Fel</v>
      </c>
      <c r="C149" t="str">
        <f>IF(COUNTIF(cave_Appelations!$A:$A,$A149)&gt;0,$A149,"")</f>
        <v>Entraygues - Le Fel</v>
      </c>
    </row>
    <row r="150" spans="1:4" x14ac:dyDescent="0.35">
      <c r="A150" t="s">
        <v>63</v>
      </c>
      <c r="B150" t="str">
        <f t="shared" si="4"/>
        <v>Entre-deux-Mers</v>
      </c>
      <c r="C150" t="str">
        <f>IF(COUNTIF(cave_Appelations!$A:$A,$A150)&gt;0,$A150,"")</f>
        <v>Entre-deux-Mers</v>
      </c>
    </row>
    <row r="151" spans="1:4" x14ac:dyDescent="0.35">
      <c r="A151" t="s">
        <v>71</v>
      </c>
      <c r="B151" t="str">
        <f t="shared" si="4"/>
        <v>Entre-deux-Mers</v>
      </c>
      <c r="C151" t="str">
        <f>IF(COUNTIF(cave_Appelations!$A:$A,$A151)&gt;0,$A151,"")</f>
        <v/>
      </c>
      <c r="D151" t="s">
        <v>63</v>
      </c>
    </row>
    <row r="152" spans="1:4" x14ac:dyDescent="0.35">
      <c r="A152" t="s">
        <v>49</v>
      </c>
      <c r="B152" t="str">
        <f t="shared" si="4"/>
        <v>Estaing</v>
      </c>
      <c r="C152" t="str">
        <f>IF(COUNTIF(cave_Appelations!$A:$A,$A152)&gt;0,$A152,"")</f>
        <v>Estaing</v>
      </c>
    </row>
    <row r="153" spans="1:4" x14ac:dyDescent="0.35">
      <c r="A153" t="s">
        <v>148</v>
      </c>
      <c r="B153" t="str">
        <f t="shared" si="4"/>
        <v>Faugères</v>
      </c>
      <c r="C153" t="str">
        <f>IF(COUNTIF(cave_Appelations!$A:$A,$A153)&gt;0,$A153,"")</f>
        <v>Faugères</v>
      </c>
    </row>
    <row r="154" spans="1:4" x14ac:dyDescent="0.35">
      <c r="A154" t="s">
        <v>176</v>
      </c>
      <c r="B154" t="str">
        <f t="shared" si="4"/>
        <v>Fitou</v>
      </c>
      <c r="C154" t="str">
        <f>IF(COUNTIF(cave_Appelations!$A:$A,$A154)&gt;0,$A154,"")</f>
        <v>Fitou</v>
      </c>
    </row>
    <row r="155" spans="1:4" x14ac:dyDescent="0.35">
      <c r="A155" t="s">
        <v>112</v>
      </c>
      <c r="B155" t="str">
        <f t="shared" si="4"/>
        <v>Fronsac</v>
      </c>
      <c r="C155" t="str">
        <f>IF(COUNTIF(cave_Appelations!$A:$A,$A155)&gt;0,$A155,"")</f>
        <v>Fronsac</v>
      </c>
    </row>
    <row r="156" spans="1:4" x14ac:dyDescent="0.35">
      <c r="A156" t="s">
        <v>17</v>
      </c>
      <c r="B156" t="str">
        <f t="shared" ref="B156:B187" si="5">IF(C156="",D156,C156)</f>
        <v>Fronton</v>
      </c>
      <c r="C156" t="str">
        <f>IF(COUNTIF(cave_Appelations!$A:$A,$A156)&gt;0,$A156,"")</f>
        <v>Fronton</v>
      </c>
    </row>
    <row r="157" spans="1:4" x14ac:dyDescent="0.35">
      <c r="A157" t="s">
        <v>9</v>
      </c>
      <c r="B157" t="str">
        <f t="shared" si="5"/>
        <v>Gaillac</v>
      </c>
      <c r="C157" t="str">
        <f>IF(COUNTIF(cave_Appelations!$A:$A,$A157)&gt;0,$A157,"")</f>
        <v>Gaillac</v>
      </c>
    </row>
    <row r="158" spans="1:4" x14ac:dyDescent="0.35">
      <c r="A158" t="s">
        <v>282</v>
      </c>
      <c r="B158" t="str">
        <f t="shared" si="5"/>
        <v>Gaillac premières côtes</v>
      </c>
      <c r="C158" t="str">
        <f>IF(COUNTIF(cave_Appelations!$A:$A,$A158)&gt;0,$A158,"")</f>
        <v>Gaillac premières côtes</v>
      </c>
    </row>
    <row r="159" spans="1:4" x14ac:dyDescent="0.35">
      <c r="A159" t="s">
        <v>196</v>
      </c>
      <c r="B159" t="str">
        <f t="shared" si="5"/>
        <v>Gigondas</v>
      </c>
      <c r="C159" t="str">
        <f>IF(COUNTIF(cave_Appelations!$A:$A,$A159)&gt;0,$A159,"")</f>
        <v>Gigondas</v>
      </c>
    </row>
    <row r="160" spans="1:4" x14ac:dyDescent="0.35">
      <c r="A160" t="s">
        <v>66</v>
      </c>
      <c r="B160" t="str">
        <f t="shared" si="5"/>
        <v>Grand Roussillon</v>
      </c>
      <c r="C160" t="str">
        <f>IF(COUNTIF(cave_Appelations!$A:$A,$A160)&gt;0,$A160,"")</f>
        <v>Grand Roussillon</v>
      </c>
    </row>
    <row r="161" spans="1:4" x14ac:dyDescent="0.35">
      <c r="A161" t="s">
        <v>72</v>
      </c>
      <c r="B161" t="str">
        <f t="shared" si="5"/>
        <v>Graves</v>
      </c>
      <c r="C161" t="str">
        <f>IF(COUNTIF(cave_Appelations!$A:$A,$A161)&gt;0,$A161,"")</f>
        <v>Graves</v>
      </c>
    </row>
    <row r="162" spans="1:4" x14ac:dyDescent="0.35">
      <c r="A162" t="s">
        <v>98</v>
      </c>
      <c r="B162" t="str">
        <f t="shared" si="5"/>
        <v>Graves de Vayres</v>
      </c>
      <c r="C162" t="str">
        <f>IF(COUNTIF(cave_Appelations!$A:$A,$A162)&gt;0,$A162,"")</f>
        <v>Graves de Vayres</v>
      </c>
    </row>
    <row r="163" spans="1:4" x14ac:dyDescent="0.35">
      <c r="A163" t="s">
        <v>73</v>
      </c>
      <c r="B163" t="str">
        <f t="shared" si="5"/>
        <v>Graves supérieures</v>
      </c>
      <c r="C163" t="str">
        <f>IF(COUNTIF(cave_Appelations!$A:$A,$A163)&gt;0,$A163,"")</f>
        <v>Graves supérieures</v>
      </c>
    </row>
    <row r="164" spans="1:4" x14ac:dyDescent="0.35">
      <c r="A164" t="s">
        <v>10</v>
      </c>
      <c r="B164" t="str">
        <f t="shared" si="5"/>
        <v>Grignan-les-Adhémar</v>
      </c>
      <c r="C164" t="str">
        <f>IF(COUNTIF(cave_Appelations!$A:$A,$A164)&gt;0,$A164,"")</f>
        <v>Grignan-les-Adhémar</v>
      </c>
    </row>
    <row r="165" spans="1:4" x14ac:dyDescent="0.35">
      <c r="A165" t="s">
        <v>229</v>
      </c>
      <c r="B165" t="str">
        <f t="shared" si="5"/>
        <v>Gros Plant du Pays Nantais</v>
      </c>
      <c r="C165" t="str">
        <f>IF(COUNTIF(cave_Appelations!$A:$A,$A165)&gt;0,$A165,"")</f>
        <v>Gros Plant du Pays Nantais</v>
      </c>
    </row>
    <row r="166" spans="1:4" x14ac:dyDescent="0.35">
      <c r="A166" t="s">
        <v>60</v>
      </c>
      <c r="B166" t="str">
        <f t="shared" si="5"/>
        <v>Haut-Médoc</v>
      </c>
      <c r="C166" t="str">
        <f>IF(COUNTIF(cave_Appelations!$A:$A,$A166)&gt;0,$A166,"")</f>
        <v>Haut-Médoc</v>
      </c>
    </row>
    <row r="167" spans="1:4" x14ac:dyDescent="0.35">
      <c r="A167" t="s">
        <v>172</v>
      </c>
      <c r="B167" t="str">
        <f t="shared" si="5"/>
        <v>Haut-Montravel</v>
      </c>
      <c r="C167" t="str">
        <f>IF(COUNTIF(cave_Appelations!$A:$A,$A167)&gt;0,$A167,"")</f>
        <v>Haut-Montravel</v>
      </c>
    </row>
    <row r="168" spans="1:4" x14ac:dyDescent="0.35">
      <c r="A168" t="s">
        <v>42</v>
      </c>
      <c r="B168" t="str">
        <f t="shared" si="5"/>
        <v>Haut-Poitou</v>
      </c>
      <c r="C168" t="str">
        <f>IF(COUNTIF(cave_Appelations!$A:$A,$A168)&gt;0,$A168,"")</f>
        <v>Haut-Poitou</v>
      </c>
    </row>
    <row r="169" spans="1:4" x14ac:dyDescent="0.35">
      <c r="A169" t="s">
        <v>35</v>
      </c>
      <c r="B169" t="str">
        <f t="shared" si="5"/>
        <v>Irouléguy</v>
      </c>
      <c r="C169" t="str">
        <f>IF(COUNTIF(cave_Appelations!$A:$A,$A169)&gt;0,$A169,"")</f>
        <v>Irouléguy</v>
      </c>
    </row>
    <row r="170" spans="1:4" x14ac:dyDescent="0.35">
      <c r="A170" t="s">
        <v>261</v>
      </c>
      <c r="B170" t="str">
        <f t="shared" si="5"/>
        <v>Jurançon</v>
      </c>
      <c r="C170" t="str">
        <f>IF(COUNTIF(cave_Appelations!$A:$A,$A170)&gt;0,$A170,"")</f>
        <v>Jurançon</v>
      </c>
    </row>
    <row r="171" spans="1:4" x14ac:dyDescent="0.35">
      <c r="A171" t="s">
        <v>252</v>
      </c>
      <c r="C171" t="str">
        <f>IF(COUNTIF(cave_Appelations!$A:$A,$A171)&gt;0,$A171,"")</f>
        <v/>
      </c>
      <c r="D171" t="s">
        <v>301</v>
      </c>
    </row>
    <row r="172" spans="1:4" x14ac:dyDescent="0.35">
      <c r="A172" t="s">
        <v>85</v>
      </c>
      <c r="B172" t="str">
        <f t="shared" ref="B172:B203" si="6">IF(C172="",D172,C172)</f>
        <v>Lalande de Pomerol</v>
      </c>
      <c r="C172" t="str">
        <f>IF(COUNTIF(cave_Appelations!$A:$A,$A172)&gt;0,$A172,"")</f>
        <v/>
      </c>
      <c r="D172" t="s">
        <v>353</v>
      </c>
    </row>
    <row r="173" spans="1:4" x14ac:dyDescent="0.35">
      <c r="A173" t="s">
        <v>18</v>
      </c>
      <c r="B173" t="str">
        <f t="shared" si="6"/>
        <v>Languedoc</v>
      </c>
      <c r="C173" t="str">
        <f>IF(COUNTIF(cave_Appelations!$A:$A,$A173)&gt;0,$A173,"")</f>
        <v>Languedoc</v>
      </c>
    </row>
    <row r="174" spans="1:4" x14ac:dyDescent="0.35">
      <c r="A174" t="s">
        <v>258</v>
      </c>
      <c r="B174" t="str">
        <f t="shared" si="6"/>
        <v>Languedoc</v>
      </c>
      <c r="C174" t="str">
        <f>IF(COUNTIF(cave_Appelations!$A:$A,$A174)&gt;0,$A174,"")</f>
        <v/>
      </c>
      <c r="D174" t="s">
        <v>18</v>
      </c>
    </row>
    <row r="175" spans="1:4" x14ac:dyDescent="0.35">
      <c r="A175" t="s">
        <v>245</v>
      </c>
      <c r="B175" t="str">
        <f t="shared" si="6"/>
        <v>Languedoc</v>
      </c>
      <c r="C175" t="str">
        <f>IF(COUNTIF(cave_Appelations!$A:$A,$A175)&gt;0,$A175,"")</f>
        <v/>
      </c>
      <c r="D175" t="s">
        <v>18</v>
      </c>
    </row>
    <row r="176" spans="1:4" x14ac:dyDescent="0.35">
      <c r="A176" t="s">
        <v>234</v>
      </c>
      <c r="B176" t="str">
        <f t="shared" si="6"/>
        <v>Languedoc</v>
      </c>
      <c r="C176" t="str">
        <f>IF(COUNTIF(cave_Appelations!$A:$A,$A176)&gt;0,$A176,"")</f>
        <v/>
      </c>
      <c r="D176" t="s">
        <v>18</v>
      </c>
    </row>
    <row r="177" spans="1:4" x14ac:dyDescent="0.35">
      <c r="A177" t="s">
        <v>248</v>
      </c>
      <c r="B177" t="str">
        <f t="shared" si="6"/>
        <v>Languedoc</v>
      </c>
      <c r="C177" t="str">
        <f>IF(COUNTIF(cave_Appelations!$A:$A,$A177)&gt;0,$A177,"")</f>
        <v/>
      </c>
      <c r="D177" t="s">
        <v>18</v>
      </c>
    </row>
    <row r="178" spans="1:4" x14ac:dyDescent="0.35">
      <c r="A178" t="s">
        <v>190</v>
      </c>
      <c r="B178" t="str">
        <f t="shared" si="6"/>
        <v>Languedoc</v>
      </c>
      <c r="C178" t="str">
        <f>IF(COUNTIF(cave_Appelations!$A:$A,$A178)&gt;0,$A178,"")</f>
        <v/>
      </c>
      <c r="D178" t="s">
        <v>18</v>
      </c>
    </row>
    <row r="179" spans="1:4" x14ac:dyDescent="0.35">
      <c r="A179" t="s">
        <v>225</v>
      </c>
      <c r="B179" t="str">
        <f t="shared" si="6"/>
        <v>Languedoc</v>
      </c>
      <c r="C179" t="str">
        <f>IF(COUNTIF(cave_Appelations!$A:$A,$A179)&gt;0,$A179,"")</f>
        <v/>
      </c>
      <c r="D179" t="s">
        <v>18</v>
      </c>
    </row>
    <row r="180" spans="1:4" x14ac:dyDescent="0.35">
      <c r="A180" t="s">
        <v>228</v>
      </c>
      <c r="B180" t="str">
        <f t="shared" si="6"/>
        <v>Languedoc</v>
      </c>
      <c r="C180" t="str">
        <f>IF(COUNTIF(cave_Appelations!$A:$A,$A180)&gt;0,$A180,"")</f>
        <v/>
      </c>
      <c r="D180" t="s">
        <v>18</v>
      </c>
    </row>
    <row r="181" spans="1:4" x14ac:dyDescent="0.35">
      <c r="A181" t="s">
        <v>117</v>
      </c>
      <c r="B181" t="str">
        <f t="shared" si="6"/>
        <v>Les Baux de Provence</v>
      </c>
      <c r="C181" t="str">
        <f>IF(COUNTIF(cave_Appelations!$A:$A,$A181)&gt;0,$A181,"")</f>
        <v>Les Baux de Provence</v>
      </c>
    </row>
    <row r="182" spans="1:4" x14ac:dyDescent="0.35">
      <c r="A182" t="s">
        <v>127</v>
      </c>
      <c r="B182" t="str">
        <f t="shared" si="6"/>
        <v>Limoux</v>
      </c>
      <c r="C182" t="str">
        <f>IF(COUNTIF(cave_Appelations!$A:$A,$A182)&gt;0,$A182,"")</f>
        <v>Limoux</v>
      </c>
    </row>
    <row r="183" spans="1:4" x14ac:dyDescent="0.35">
      <c r="A183" t="s">
        <v>134</v>
      </c>
      <c r="B183" t="str">
        <f t="shared" si="6"/>
        <v>Lirac</v>
      </c>
      <c r="C183" t="str">
        <f>IF(COUNTIF(cave_Appelations!$A:$A,$A183)&gt;0,$A183,"")</f>
        <v>Lirac</v>
      </c>
    </row>
    <row r="184" spans="1:4" x14ac:dyDescent="0.35">
      <c r="A184" t="s">
        <v>103</v>
      </c>
      <c r="B184" t="str">
        <f t="shared" si="6"/>
        <v>Listrac</v>
      </c>
      <c r="C184" t="str">
        <f>IF(COUNTIF(cave_Appelations!$A:$A,$A184)&gt;0,$A184,"")</f>
        <v/>
      </c>
      <c r="D184" t="s">
        <v>382</v>
      </c>
    </row>
    <row r="185" spans="1:4" x14ac:dyDescent="0.35">
      <c r="A185" t="s">
        <v>97</v>
      </c>
      <c r="B185" t="str">
        <f t="shared" si="6"/>
        <v>Loupiac</v>
      </c>
      <c r="C185" t="str">
        <f>IF(COUNTIF(cave_Appelations!$A:$A,$A185)&gt;0,$A185,"")</f>
        <v>Loupiac</v>
      </c>
    </row>
    <row r="186" spans="1:4" x14ac:dyDescent="0.35">
      <c r="A186" t="s">
        <v>15</v>
      </c>
      <c r="B186" t="str">
        <f t="shared" si="6"/>
        <v>Luberon</v>
      </c>
      <c r="C186" t="str">
        <f>IF(COUNTIF(cave_Appelations!$A:$A,$A186)&gt;0,$A186,"")</f>
        <v>Luberon</v>
      </c>
    </row>
    <row r="187" spans="1:4" x14ac:dyDescent="0.35">
      <c r="A187" t="s">
        <v>59</v>
      </c>
      <c r="B187" t="str">
        <f t="shared" si="6"/>
        <v>Lussac-Saint-Emilion</v>
      </c>
      <c r="C187" t="str">
        <f>IF(COUNTIF(cave_Appelations!$A:$A,$A187)&gt;0,$A187,"")</f>
        <v>Lussac-Saint-Emilion</v>
      </c>
    </row>
    <row r="188" spans="1:4" x14ac:dyDescent="0.35">
      <c r="A188" t="s">
        <v>143</v>
      </c>
      <c r="B188" t="str">
        <f t="shared" si="6"/>
        <v>Mâcon</v>
      </c>
      <c r="C188" t="str">
        <f>IF(COUNTIF(cave_Appelations!$A:$A,$A188)&gt;0,$A188,"")</f>
        <v>Mâcon</v>
      </c>
    </row>
    <row r="189" spans="1:4" x14ac:dyDescent="0.35">
      <c r="A189" t="s">
        <v>161</v>
      </c>
      <c r="B189" t="str">
        <f t="shared" si="6"/>
        <v>Mâcon</v>
      </c>
      <c r="C189" t="str">
        <f>IF(COUNTIF(cave_Appelations!$A:$A,$A189)&gt;0,$A189,"")</f>
        <v/>
      </c>
      <c r="D189" t="s">
        <v>143</v>
      </c>
    </row>
    <row r="190" spans="1:4" x14ac:dyDescent="0.35">
      <c r="A190" t="s">
        <v>212</v>
      </c>
      <c r="B190" t="str">
        <f t="shared" si="6"/>
        <v>Mâcon</v>
      </c>
      <c r="C190" t="str">
        <f>IF(COUNTIF(cave_Appelations!$A:$A,$A190)&gt;0,$A190,"")</f>
        <v/>
      </c>
      <c r="D190" t="s">
        <v>143</v>
      </c>
    </row>
    <row r="191" spans="1:4" x14ac:dyDescent="0.35">
      <c r="A191" t="s">
        <v>275</v>
      </c>
      <c r="B191" t="str">
        <f t="shared" si="6"/>
        <v>Mâcon</v>
      </c>
      <c r="C191" t="str">
        <f>IF(COUNTIF(cave_Appelations!$A:$A,$A191)&gt;0,$A191,"")</f>
        <v/>
      </c>
      <c r="D191" t="s">
        <v>143</v>
      </c>
    </row>
    <row r="192" spans="1:4" x14ac:dyDescent="0.35">
      <c r="A192" t="s">
        <v>199</v>
      </c>
      <c r="B192" t="str">
        <f t="shared" si="6"/>
        <v>Mâcon</v>
      </c>
      <c r="C192" t="str">
        <f>IF(COUNTIF(cave_Appelations!$A:$A,$A192)&gt;0,$A192,"")</f>
        <v/>
      </c>
      <c r="D192" t="s">
        <v>143</v>
      </c>
    </row>
    <row r="193" spans="1:4" x14ac:dyDescent="0.35">
      <c r="A193" t="s">
        <v>150</v>
      </c>
      <c r="B193" t="str">
        <f t="shared" si="6"/>
        <v>Mâcon</v>
      </c>
      <c r="C193" t="str">
        <f>IF(COUNTIF(cave_Appelations!$A:$A,$A193)&gt;0,$A193,"")</f>
        <v/>
      </c>
      <c r="D193" t="s">
        <v>143</v>
      </c>
    </row>
    <row r="194" spans="1:4" x14ac:dyDescent="0.35">
      <c r="A194" t="s">
        <v>206</v>
      </c>
      <c r="B194" t="str">
        <f t="shared" si="6"/>
        <v>Mâcon</v>
      </c>
      <c r="C194" t="str">
        <f>IF(COUNTIF(cave_Appelations!$A:$A,$A194)&gt;0,$A194,"")</f>
        <v/>
      </c>
      <c r="D194" t="s">
        <v>143</v>
      </c>
    </row>
    <row r="195" spans="1:4" x14ac:dyDescent="0.35">
      <c r="A195" t="s">
        <v>224</v>
      </c>
      <c r="B195" t="str">
        <f t="shared" si="6"/>
        <v>Mâcon</v>
      </c>
      <c r="C195" t="str">
        <f>IF(COUNTIF(cave_Appelations!$A:$A,$A195)&gt;0,$A195,"")</f>
        <v/>
      </c>
      <c r="D195" t="s">
        <v>143</v>
      </c>
    </row>
    <row r="196" spans="1:4" x14ac:dyDescent="0.35">
      <c r="A196" t="s">
        <v>253</v>
      </c>
      <c r="B196" t="str">
        <f t="shared" si="6"/>
        <v>Mâcon</v>
      </c>
      <c r="C196" t="str">
        <f>IF(COUNTIF(cave_Appelations!$A:$A,$A196)&gt;0,$A196,"")</f>
        <v/>
      </c>
      <c r="D196" t="s">
        <v>143</v>
      </c>
    </row>
    <row r="197" spans="1:4" x14ac:dyDescent="0.35">
      <c r="A197" t="s">
        <v>272</v>
      </c>
      <c r="B197" t="str">
        <f t="shared" si="6"/>
        <v>Mâcon</v>
      </c>
      <c r="C197" t="str">
        <f>IF(COUNTIF(cave_Appelations!$A:$A,$A197)&gt;0,$A197,"")</f>
        <v/>
      </c>
      <c r="D197" t="s">
        <v>143</v>
      </c>
    </row>
    <row r="198" spans="1:4" x14ac:dyDescent="0.35">
      <c r="A198" t="s">
        <v>226</v>
      </c>
      <c r="B198" t="str">
        <f t="shared" si="6"/>
        <v>Mâcon</v>
      </c>
      <c r="C198" t="str">
        <f>IF(COUNTIF(cave_Appelations!$A:$A,$A198)&gt;0,$A198,"")</f>
        <v/>
      </c>
      <c r="D198" t="s">
        <v>143</v>
      </c>
    </row>
    <row r="199" spans="1:4" x14ac:dyDescent="0.35">
      <c r="A199" t="s">
        <v>223</v>
      </c>
      <c r="B199" t="str">
        <f t="shared" si="6"/>
        <v>Mâcon</v>
      </c>
      <c r="C199" t="str">
        <f>IF(COUNTIF(cave_Appelations!$A:$A,$A199)&gt;0,$A199,"")</f>
        <v/>
      </c>
      <c r="D199" t="s">
        <v>143</v>
      </c>
    </row>
    <row r="200" spans="1:4" x14ac:dyDescent="0.35">
      <c r="A200" t="s">
        <v>144</v>
      </c>
      <c r="B200" t="str">
        <f t="shared" si="6"/>
        <v>Mâcon</v>
      </c>
      <c r="C200" t="str">
        <f>IF(COUNTIF(cave_Appelations!$A:$A,$A200)&gt;0,$A200,"")</f>
        <v/>
      </c>
      <c r="D200" t="s">
        <v>143</v>
      </c>
    </row>
    <row r="201" spans="1:4" x14ac:dyDescent="0.35">
      <c r="A201" t="s">
        <v>145</v>
      </c>
      <c r="B201" t="str">
        <f t="shared" si="6"/>
        <v>Mâcon</v>
      </c>
      <c r="C201" t="str">
        <f>IF(COUNTIF(cave_Appelations!$A:$A,$A201)&gt;0,$A201,"")</f>
        <v/>
      </c>
      <c r="D201" t="s">
        <v>143</v>
      </c>
    </row>
    <row r="202" spans="1:4" x14ac:dyDescent="0.35">
      <c r="A202" t="s">
        <v>153</v>
      </c>
      <c r="B202" t="str">
        <f t="shared" si="6"/>
        <v>Macvin du Jura</v>
      </c>
      <c r="C202" t="str">
        <f>IF(COUNTIF(cave_Appelations!$A:$A,$A202)&gt;0,$A202,"")</f>
        <v>Macvin du Jura</v>
      </c>
    </row>
    <row r="203" spans="1:4" x14ac:dyDescent="0.35">
      <c r="A203" t="s">
        <v>156</v>
      </c>
      <c r="B203" t="str">
        <f t="shared" si="6"/>
        <v>Madiran</v>
      </c>
      <c r="C203" t="str">
        <f>IF(COUNTIF(cave_Appelations!$A:$A,$A203)&gt;0,$A203,"")</f>
        <v>Madiran</v>
      </c>
    </row>
    <row r="204" spans="1:4" x14ac:dyDescent="0.35">
      <c r="A204" t="s">
        <v>31</v>
      </c>
      <c r="B204" t="str">
        <f t="shared" ref="B204:B235" si="7">IF(C204="",D204,C204)</f>
        <v>Malepère</v>
      </c>
      <c r="C204" t="str">
        <f>IF(COUNTIF(cave_Appelations!$A:$A,$A204)&gt;0,$A204,"")</f>
        <v>Malepère</v>
      </c>
    </row>
    <row r="205" spans="1:4" x14ac:dyDescent="0.35">
      <c r="A205" t="s">
        <v>30</v>
      </c>
      <c r="B205" t="str">
        <f t="shared" si="7"/>
        <v>Marcillac</v>
      </c>
      <c r="C205" t="str">
        <f>IF(COUNTIF(cave_Appelations!$A:$A,$A205)&gt;0,$A205,"")</f>
        <v>Marcillac</v>
      </c>
    </row>
    <row r="206" spans="1:4" x14ac:dyDescent="0.35">
      <c r="A206" t="s">
        <v>118</v>
      </c>
      <c r="B206" t="str">
        <f t="shared" si="7"/>
        <v>Margaux</v>
      </c>
      <c r="C206" t="str">
        <f>IF(COUNTIF(cave_Appelations!$A:$A,$A206)&gt;0,$A206,"")</f>
        <v>Margaux</v>
      </c>
    </row>
    <row r="207" spans="1:4" x14ac:dyDescent="0.35">
      <c r="A207" t="s">
        <v>129</v>
      </c>
      <c r="B207" t="str">
        <f t="shared" si="7"/>
        <v>Maury</v>
      </c>
      <c r="C207" t="str">
        <f>IF(COUNTIF(cave_Appelations!$A:$A,$A207)&gt;0,$A207,"")</f>
        <v>Maury</v>
      </c>
    </row>
    <row r="208" spans="1:4" x14ac:dyDescent="0.35">
      <c r="A208" t="s">
        <v>61</v>
      </c>
      <c r="B208" t="str">
        <f t="shared" si="7"/>
        <v>Médoc</v>
      </c>
      <c r="C208" t="str">
        <f>IF(COUNTIF(cave_Appelations!$A:$A,$A208)&gt;0,$A208,"")</f>
        <v>Médoc</v>
      </c>
    </row>
    <row r="209" spans="1:4" x14ac:dyDescent="0.35">
      <c r="A209" t="s">
        <v>47</v>
      </c>
      <c r="B209" t="str">
        <f t="shared" si="7"/>
        <v>Menetou-Salon</v>
      </c>
      <c r="C209" t="str">
        <f>IF(COUNTIF(cave_Appelations!$A:$A,$A209)&gt;0,$A209,"")</f>
        <v>Menetou-Salon</v>
      </c>
    </row>
    <row r="210" spans="1:4" x14ac:dyDescent="0.35">
      <c r="A210" t="s">
        <v>203</v>
      </c>
      <c r="B210" t="str">
        <f t="shared" si="7"/>
        <v>Mercurey</v>
      </c>
      <c r="C210" t="str">
        <f>IF(COUNTIF(cave_Appelations!$A:$A,$A210)&gt;0,$A210,"")</f>
        <v>Mercurey</v>
      </c>
    </row>
    <row r="211" spans="1:4" x14ac:dyDescent="0.35">
      <c r="A211" t="s">
        <v>130</v>
      </c>
      <c r="B211" t="str">
        <f t="shared" si="7"/>
        <v>Minervois</v>
      </c>
      <c r="C211" t="str">
        <f>IF(COUNTIF(cave_Appelations!$A:$A,$A211)&gt;0,$A211,"")</f>
        <v>Minervois</v>
      </c>
    </row>
    <row r="212" spans="1:4" x14ac:dyDescent="0.35">
      <c r="A212" t="s">
        <v>257</v>
      </c>
      <c r="B212" t="str">
        <f t="shared" si="7"/>
        <v>Minervois-La Livinière</v>
      </c>
      <c r="C212" t="str">
        <f>IF(COUNTIF(cave_Appelations!$A:$A,$A212)&gt;0,$A212,"")</f>
        <v>Minervois-La Livinière</v>
      </c>
    </row>
    <row r="213" spans="1:4" x14ac:dyDescent="0.35">
      <c r="A213" t="s">
        <v>58</v>
      </c>
      <c r="B213" t="str">
        <f t="shared" si="7"/>
        <v>Monbazillac</v>
      </c>
      <c r="C213" t="str">
        <f>IF(COUNTIF(cave_Appelations!$A:$A,$A213)&gt;0,$A213,"")</f>
        <v>Monbazillac</v>
      </c>
    </row>
    <row r="214" spans="1:4" x14ac:dyDescent="0.35">
      <c r="A214" t="s">
        <v>55</v>
      </c>
      <c r="B214" t="str">
        <f t="shared" si="7"/>
        <v>Montagne-Saint-Emilion</v>
      </c>
      <c r="C214" t="str">
        <f>IF(COUNTIF(cave_Appelations!$A:$A,$A214)&gt;0,$A214,"")</f>
        <v>Montagne-Saint-Emilion</v>
      </c>
    </row>
    <row r="215" spans="1:4" x14ac:dyDescent="0.35">
      <c r="A215" t="s">
        <v>241</v>
      </c>
      <c r="B215" t="str">
        <f t="shared" si="7"/>
        <v>Montlouis-sur-Loire</v>
      </c>
      <c r="C215" t="str">
        <f>IF(COUNTIF(cave_Appelations!$A:$A,$A215)&gt;0,$A215,"")</f>
        <v>Montlouis-sur-Loire</v>
      </c>
    </row>
    <row r="216" spans="1:4" x14ac:dyDescent="0.35">
      <c r="A216" t="s">
        <v>173</v>
      </c>
      <c r="B216" t="str">
        <f t="shared" si="7"/>
        <v>Montravel</v>
      </c>
      <c r="C216" t="str">
        <f>IF(COUNTIF(cave_Appelations!$A:$A,$A216)&gt;0,$A216,"")</f>
        <v>Montravel</v>
      </c>
    </row>
    <row r="217" spans="1:4" x14ac:dyDescent="0.35">
      <c r="A217" t="s">
        <v>271</v>
      </c>
      <c r="B217" t="str">
        <f t="shared" si="7"/>
        <v>Morgon</v>
      </c>
      <c r="C217" t="str">
        <f>IF(COUNTIF(cave_Appelations!$A:$A,$A217)&gt;0,$A217,"")</f>
        <v>Morgon</v>
      </c>
    </row>
    <row r="218" spans="1:4" x14ac:dyDescent="0.35">
      <c r="A218" t="s">
        <v>106</v>
      </c>
      <c r="B218" t="str">
        <f t="shared" si="7"/>
        <v>Moulis</v>
      </c>
      <c r="C218" t="str">
        <f>IF(COUNTIF(cave_Appelations!$A:$A,$A218)&gt;0,$A218,"")</f>
        <v/>
      </c>
      <c r="D218" t="s">
        <v>355</v>
      </c>
    </row>
    <row r="219" spans="1:4" x14ac:dyDescent="0.35">
      <c r="A219" t="s">
        <v>230</v>
      </c>
      <c r="B219" t="str">
        <f t="shared" si="7"/>
        <v>Muscadet</v>
      </c>
      <c r="C219" t="str">
        <f>IF(COUNTIF(cave_Appelations!$A:$A,$A219)&gt;0,$A219,"")</f>
        <v>Muscadet</v>
      </c>
    </row>
    <row r="220" spans="1:4" x14ac:dyDescent="0.35">
      <c r="A220" t="s">
        <v>231</v>
      </c>
      <c r="B220" t="str">
        <f t="shared" si="7"/>
        <v>Muscadet Sèvre et Maine</v>
      </c>
      <c r="C220" t="str">
        <f>IF(COUNTIF(cave_Appelations!$A:$A,$A220)&gt;0,$A220,"")</f>
        <v>Muscadet Sèvre et Maine</v>
      </c>
    </row>
    <row r="221" spans="1:4" x14ac:dyDescent="0.35">
      <c r="A221" t="s">
        <v>194</v>
      </c>
      <c r="B221" t="str">
        <f t="shared" si="7"/>
        <v>Muscat de Beaumes-de-Venise</v>
      </c>
      <c r="C221" t="str">
        <f>IF(COUNTIF(cave_Appelations!$A:$A,$A221)&gt;0,$A221,"")</f>
        <v>Muscat de Beaumes-de-Venise</v>
      </c>
    </row>
    <row r="222" spans="1:4" x14ac:dyDescent="0.35">
      <c r="A222" t="s">
        <v>19</v>
      </c>
      <c r="B222" t="str">
        <f t="shared" si="7"/>
        <v>Muscat de Frontignan</v>
      </c>
      <c r="C222" t="str">
        <f>IF(COUNTIF(cave_Appelations!$A:$A,$A222)&gt;0,$A222,"")</f>
        <v/>
      </c>
      <c r="D222" t="s">
        <v>637</v>
      </c>
    </row>
    <row r="223" spans="1:4" x14ac:dyDescent="0.35">
      <c r="A223" t="s">
        <v>22</v>
      </c>
      <c r="B223" t="str">
        <f t="shared" si="7"/>
        <v>Muscat de Mireval</v>
      </c>
      <c r="C223" t="str">
        <f>IF(COUNTIF(cave_Appelations!$A:$A,$A223)&gt;0,$A223,"")</f>
        <v>Muscat de Mireval</v>
      </c>
    </row>
    <row r="224" spans="1:4" x14ac:dyDescent="0.35">
      <c r="A224" t="s">
        <v>67</v>
      </c>
      <c r="B224" t="str">
        <f t="shared" si="7"/>
        <v>Muscat de Rivesaltes</v>
      </c>
      <c r="C224" t="str">
        <f>IF(COUNTIF(cave_Appelations!$A:$A,$A224)&gt;0,$A224,"")</f>
        <v>Muscat de Rivesaltes</v>
      </c>
    </row>
    <row r="225" spans="1:5" x14ac:dyDescent="0.35">
      <c r="A225" t="s">
        <v>105</v>
      </c>
      <c r="B225" t="str">
        <f t="shared" si="7"/>
        <v>Muscat du Cap Corse</v>
      </c>
      <c r="C225" t="str">
        <f>IF(COUNTIF(cave_Appelations!$A:$A,$A225)&gt;0,$A225,"")</f>
        <v>Muscat du Cap Corse</v>
      </c>
    </row>
    <row r="226" spans="1:5" x14ac:dyDescent="0.35">
      <c r="A226" t="s">
        <v>48</v>
      </c>
      <c r="B226" t="str">
        <f t="shared" si="7"/>
        <v>Orléans</v>
      </c>
      <c r="C226" t="str">
        <f>IF(COUNTIF(cave_Appelations!$A:$A,$A226)&gt;0,$A226,"")</f>
        <v>Orléans</v>
      </c>
    </row>
    <row r="227" spans="1:5" x14ac:dyDescent="0.35">
      <c r="A227" t="s">
        <v>244</v>
      </c>
      <c r="B227" t="str">
        <f t="shared" si="7"/>
        <v>Orléans-Cléry</v>
      </c>
      <c r="C227" t="str">
        <f>IF(COUNTIF(cave_Appelations!$A:$A,$A227)&gt;0,$A227,"")</f>
        <v>Orléans-Cléry</v>
      </c>
    </row>
    <row r="228" spans="1:5" x14ac:dyDescent="0.35">
      <c r="A228" t="s">
        <v>157</v>
      </c>
      <c r="B228" t="str">
        <f t="shared" si="7"/>
        <v>Pacherenc du Vic-Bilh</v>
      </c>
      <c r="C228" t="str">
        <f>IF(COUNTIF(cave_Appelations!$A:$A,$A228)&gt;0,$A228,"")</f>
        <v>Pacherenc du Vic-Bilh</v>
      </c>
    </row>
    <row r="229" spans="1:5" x14ac:dyDescent="0.35">
      <c r="A229" t="s">
        <v>13</v>
      </c>
      <c r="B229" t="str">
        <f t="shared" si="7"/>
        <v>Palette</v>
      </c>
      <c r="C229" t="str">
        <f>IF(COUNTIF(cave_Appelations!$A:$A,$A229)&gt;0,$A229,"")</f>
        <v>Palette</v>
      </c>
    </row>
    <row r="230" spans="1:5" x14ac:dyDescent="0.35">
      <c r="A230" t="s">
        <v>14</v>
      </c>
      <c r="B230" t="str">
        <f t="shared" si="7"/>
        <v>Patrimonio</v>
      </c>
      <c r="C230" t="str">
        <f>IF(COUNTIF(cave_Appelations!$A:$A,$A230)&gt;0,$A230,"")</f>
        <v>Patrimonio</v>
      </c>
    </row>
    <row r="231" spans="1:5" x14ac:dyDescent="0.35">
      <c r="A231" t="s">
        <v>76</v>
      </c>
      <c r="B231" t="str">
        <f t="shared" si="7"/>
        <v>Pauillac</v>
      </c>
      <c r="C231" t="str">
        <f>IF(COUNTIF(cave_Appelations!$A:$A,$A231)&gt;0,$A231,"")</f>
        <v>Pauillac</v>
      </c>
    </row>
    <row r="232" spans="1:5" x14ac:dyDescent="0.35">
      <c r="A232" t="s">
        <v>132</v>
      </c>
      <c r="B232" t="str">
        <f t="shared" si="7"/>
        <v>Pécharmant</v>
      </c>
      <c r="C232" t="str">
        <f>IF(COUNTIF(cave_Appelations!$A:$A,$A232)&gt;0,$A232,"")</f>
        <v>Pécharmant</v>
      </c>
    </row>
    <row r="233" spans="1:5" x14ac:dyDescent="0.35">
      <c r="A233" t="s">
        <v>113</v>
      </c>
      <c r="B233" t="str">
        <f t="shared" si="7"/>
        <v>Pessac-Léognan</v>
      </c>
      <c r="C233" t="str">
        <f>IF(COUNTIF(cave_Appelations!$A:$A,$A233)&gt;0,$A233,"")</f>
        <v>Pessac-Léognan</v>
      </c>
    </row>
    <row r="234" spans="1:5" x14ac:dyDescent="0.35">
      <c r="A234" t="s">
        <v>125</v>
      </c>
      <c r="B234" t="str">
        <f t="shared" si="7"/>
        <v>Petit Chablis</v>
      </c>
      <c r="C234" t="str">
        <f>IF(COUNTIF(cave_Appelations!$A:$A,$A234)&gt;0,$A234,"")</f>
        <v>Petit Chablis</v>
      </c>
    </row>
    <row r="235" spans="1:5" x14ac:dyDescent="0.35">
      <c r="A235" t="s">
        <v>178</v>
      </c>
      <c r="B235">
        <f t="shared" si="7"/>
        <v>0</v>
      </c>
      <c r="C235" t="str">
        <f>IF(COUNTIF(cave_Appelations!$A:$A,$A235)&gt;0,$A235,"")</f>
        <v/>
      </c>
    </row>
    <row r="236" spans="1:5" x14ac:dyDescent="0.35">
      <c r="A236" t="s">
        <v>273</v>
      </c>
      <c r="B236">
        <f t="shared" ref="B236:B267" si="8">IF(C236="",D236,C236)</f>
        <v>0</v>
      </c>
      <c r="C236" t="str">
        <f>IF(COUNTIF(cave_Appelations!$A:$A,$A236)&gt;0,$A236,"")</f>
        <v/>
      </c>
      <c r="E236" t="str">
        <f>A236</f>
        <v>Picpoul de Pinet</v>
      </c>
    </row>
    <row r="237" spans="1:5" x14ac:dyDescent="0.35">
      <c r="A237" t="s">
        <v>34</v>
      </c>
      <c r="B237" t="str">
        <f t="shared" si="8"/>
        <v>Pierrevert</v>
      </c>
      <c r="C237" t="str">
        <f>IF(COUNTIF(cave_Appelations!$A:$A,$A237)&gt;0,$A237,"")</f>
        <v>Pierrevert</v>
      </c>
    </row>
    <row r="238" spans="1:5" x14ac:dyDescent="0.35">
      <c r="A238" t="s">
        <v>90</v>
      </c>
      <c r="B238" t="str">
        <f t="shared" si="8"/>
        <v>Pomerol</v>
      </c>
      <c r="C238" t="str">
        <f>IF(COUNTIF(cave_Appelations!$A:$A,$A238)&gt;0,$A238,"")</f>
        <v>Pomerol</v>
      </c>
    </row>
    <row r="239" spans="1:5" x14ac:dyDescent="0.35">
      <c r="A239" t="s">
        <v>214</v>
      </c>
      <c r="B239" t="str">
        <f t="shared" si="8"/>
        <v>Pouilly-Fumé</v>
      </c>
      <c r="C239" t="str">
        <f>IF(COUNTIF(cave_Appelations!$A:$A,$A239)&gt;0,$A239,"")</f>
        <v/>
      </c>
      <c r="D239" t="s">
        <v>724</v>
      </c>
    </row>
    <row r="240" spans="1:5" x14ac:dyDescent="0.35">
      <c r="A240" t="s">
        <v>215</v>
      </c>
      <c r="B240" t="str">
        <f t="shared" si="8"/>
        <v>Pouilly-sur-Loire</v>
      </c>
      <c r="C240" t="str">
        <f>IF(COUNTIF(cave_Appelations!$A:$A,$A240)&gt;0,$A240,"")</f>
        <v>Pouilly-sur-Loire</v>
      </c>
    </row>
    <row r="241" spans="1:4" x14ac:dyDescent="0.35">
      <c r="A241" t="s">
        <v>84</v>
      </c>
      <c r="B241" t="str">
        <f t="shared" si="8"/>
        <v>Premières Côtes de Bordeaux</v>
      </c>
      <c r="C241" t="str">
        <f>IF(COUNTIF(cave_Appelations!$A:$A,$A241)&gt;0,$A241,"")</f>
        <v>Premières Côtes de Bordeaux</v>
      </c>
    </row>
    <row r="242" spans="1:4" x14ac:dyDescent="0.35">
      <c r="A242" t="s">
        <v>136</v>
      </c>
      <c r="B242" t="str">
        <f t="shared" si="8"/>
        <v>Puisseguin-Saint-Emilion</v>
      </c>
      <c r="C242" t="str">
        <f>IF(COUNTIF(cave_Appelations!$A:$A,$A242)&gt;0,$A242,"")</f>
        <v>Puisseguin-Saint-Emilion</v>
      </c>
    </row>
    <row r="243" spans="1:4" x14ac:dyDescent="0.35">
      <c r="A243" t="s">
        <v>27</v>
      </c>
      <c r="B243" t="str">
        <f t="shared" si="8"/>
        <v>Quincy</v>
      </c>
      <c r="C243" t="str">
        <f>IF(COUNTIF(cave_Appelations!$A:$A,$A243)&gt;0,$A243,"")</f>
        <v>Quincy</v>
      </c>
    </row>
    <row r="244" spans="1:4" x14ac:dyDescent="0.35">
      <c r="A244" t="s">
        <v>217</v>
      </c>
      <c r="B244" t="str">
        <f t="shared" si="8"/>
        <v>Rasteau</v>
      </c>
      <c r="C244" t="str">
        <f>IF(COUNTIF(cave_Appelations!$A:$A,$A244)&gt;0,$A244,"")</f>
        <v>Rasteau</v>
      </c>
    </row>
    <row r="245" spans="1:4" x14ac:dyDescent="0.35">
      <c r="A245" t="s">
        <v>181</v>
      </c>
      <c r="B245" t="str">
        <f t="shared" si="8"/>
        <v>Rasteau</v>
      </c>
      <c r="C245" t="str">
        <f>IF(COUNTIF(cave_Appelations!$A:$A,$A245)&gt;0,$A245,"")</f>
        <v/>
      </c>
      <c r="D245" t="s">
        <v>217</v>
      </c>
    </row>
    <row r="246" spans="1:4" x14ac:dyDescent="0.35">
      <c r="A246" t="s">
        <v>33</v>
      </c>
      <c r="B246" t="str">
        <f t="shared" si="8"/>
        <v>Reuilly</v>
      </c>
      <c r="C246" t="str">
        <f>IF(COUNTIF(cave_Appelations!$A:$A,$A246)&gt;0,$A246,"")</f>
        <v>Reuilly</v>
      </c>
    </row>
    <row r="247" spans="1:4" x14ac:dyDescent="0.35">
      <c r="A247" t="s">
        <v>68</v>
      </c>
      <c r="B247" t="str">
        <f t="shared" si="8"/>
        <v>Rivesaltes</v>
      </c>
      <c r="C247" t="str">
        <f>IF(COUNTIF(cave_Appelations!$A:$A,$A247)&gt;0,$A247,"")</f>
        <v>Rivesaltes</v>
      </c>
    </row>
    <row r="248" spans="1:4" x14ac:dyDescent="0.35">
      <c r="A248" t="s">
        <v>208</v>
      </c>
      <c r="B248" t="str">
        <f t="shared" si="8"/>
        <v>Rosé d'Anjou</v>
      </c>
      <c r="C248" t="str">
        <f>IF(COUNTIF(cave_Appelations!$A:$A,$A248)&gt;0,$A248,"")</f>
        <v>Rosé d'Anjou</v>
      </c>
    </row>
    <row r="249" spans="1:4" x14ac:dyDescent="0.35">
      <c r="A249" t="s">
        <v>168</v>
      </c>
      <c r="B249" t="str">
        <f t="shared" si="8"/>
        <v>Rosé de Loire</v>
      </c>
      <c r="C249" t="str">
        <f>IF(COUNTIF(cave_Appelations!$A:$A,$A249)&gt;0,$A249,"")</f>
        <v>Rosé de Loire</v>
      </c>
    </row>
    <row r="250" spans="1:4" x14ac:dyDescent="0.35">
      <c r="A250" t="s">
        <v>99</v>
      </c>
      <c r="B250" t="str">
        <f t="shared" si="8"/>
        <v>Rosette</v>
      </c>
      <c r="C250" t="str">
        <f>IF(COUNTIF(cave_Appelations!$A:$A,$A250)&gt;0,$A250,"")</f>
        <v>Rosette</v>
      </c>
    </row>
    <row r="251" spans="1:4" x14ac:dyDescent="0.35">
      <c r="A251" t="s">
        <v>237</v>
      </c>
      <c r="B251" t="str">
        <f t="shared" si="8"/>
        <v>Roussette de Savoie</v>
      </c>
      <c r="C251" t="str">
        <f>IF(COUNTIF(cave_Appelations!$A:$A,$A251)&gt;0,$A251,"")</f>
        <v>Roussette de Savoie</v>
      </c>
    </row>
    <row r="252" spans="1:4" x14ac:dyDescent="0.35">
      <c r="A252" t="s">
        <v>265</v>
      </c>
      <c r="B252" t="str">
        <f t="shared" si="8"/>
        <v>Roussette de Savoie</v>
      </c>
      <c r="C252" t="str">
        <f>IF(COUNTIF(cave_Appelations!$A:$A,$A252)&gt;0,$A252,"")</f>
        <v/>
      </c>
      <c r="D252" t="s">
        <v>237</v>
      </c>
    </row>
    <row r="253" spans="1:4" x14ac:dyDescent="0.35">
      <c r="A253" t="s">
        <v>285</v>
      </c>
      <c r="B253" t="str">
        <f t="shared" si="8"/>
        <v>Roussette du Bugey</v>
      </c>
      <c r="C253" t="str">
        <f>IF(COUNTIF(cave_Appelations!$A:$A,$A253)&gt;0,$A253,"")</f>
        <v>Roussette du Bugey</v>
      </c>
    </row>
    <row r="254" spans="1:4" x14ac:dyDescent="0.35">
      <c r="A254" t="s">
        <v>264</v>
      </c>
      <c r="B254" t="str">
        <f t="shared" si="8"/>
        <v>Rully</v>
      </c>
      <c r="C254" t="str">
        <f>IF(COUNTIF(cave_Appelations!$A:$A,$A254)&gt;0,$A254,"")</f>
        <v>Rully</v>
      </c>
    </row>
    <row r="255" spans="1:4" x14ac:dyDescent="0.35">
      <c r="A255" t="s">
        <v>211</v>
      </c>
      <c r="B255" t="str">
        <f t="shared" si="8"/>
        <v>Saint-Bris</v>
      </c>
      <c r="C255" t="str">
        <f>IF(COUNTIF(cave_Appelations!$A:$A,$A255)&gt;0,$A255,"")</f>
        <v>Saint-Bris</v>
      </c>
    </row>
    <row r="256" spans="1:4" x14ac:dyDescent="0.35">
      <c r="A256" t="s">
        <v>160</v>
      </c>
      <c r="B256" t="str">
        <f t="shared" si="8"/>
        <v>Saint-Chinian</v>
      </c>
      <c r="C256" t="str">
        <f>IF(COUNTIF(cave_Appelations!$A:$A,$A256)&gt;0,$A256,"")</f>
        <v>Saint-Chinian</v>
      </c>
    </row>
    <row r="257" spans="1:4" x14ac:dyDescent="0.35">
      <c r="A257" t="s">
        <v>232</v>
      </c>
      <c r="B257" t="str">
        <f t="shared" si="8"/>
        <v>Saint-Chinian</v>
      </c>
      <c r="C257" t="str">
        <f>IF(COUNTIF(cave_Appelations!$A:$A,$A257)&gt;0,$A257,"")</f>
        <v/>
      </c>
      <c r="D257" t="s">
        <v>160</v>
      </c>
    </row>
    <row r="258" spans="1:4" x14ac:dyDescent="0.35">
      <c r="A258" t="s">
        <v>213</v>
      </c>
      <c r="B258" t="str">
        <f t="shared" si="8"/>
        <v>Saint-Chinian</v>
      </c>
      <c r="C258" t="str">
        <f>IF(COUNTIF(cave_Appelations!$A:$A,$A258)&gt;0,$A258,"")</f>
        <v/>
      </c>
      <c r="D258" t="s">
        <v>160</v>
      </c>
    </row>
    <row r="259" spans="1:4" x14ac:dyDescent="0.35">
      <c r="A259" t="s">
        <v>86</v>
      </c>
      <c r="B259" t="str">
        <f t="shared" si="8"/>
        <v>Sainte-Croix-du-Mont</v>
      </c>
      <c r="C259" t="str">
        <f>IF(COUNTIF(cave_Appelations!$A:$A,$A259)&gt;0,$A259,"")</f>
        <v>Sainte-Croix-du-Mont</v>
      </c>
    </row>
    <row r="260" spans="1:4" x14ac:dyDescent="0.35">
      <c r="A260" t="s">
        <v>53</v>
      </c>
      <c r="B260" t="str">
        <f t="shared" si="8"/>
        <v>Saint-Emilion</v>
      </c>
      <c r="C260" t="str">
        <f>IF(COUNTIF(cave_Appelations!$A:$A,$A260)&gt;0,$A260,"")</f>
        <v>Saint-Emilion</v>
      </c>
    </row>
    <row r="261" spans="1:4" x14ac:dyDescent="0.35">
      <c r="A261" t="s">
        <v>54</v>
      </c>
      <c r="B261" t="str">
        <f t="shared" si="8"/>
        <v>Saint-Emilion grand cru</v>
      </c>
      <c r="C261" t="str">
        <f>IF(COUNTIF(cave_Appelations!$A:$A,$A261)&gt;0,$A261,"")</f>
        <v>Saint-Emilion grand cru</v>
      </c>
    </row>
    <row r="262" spans="1:4" x14ac:dyDescent="0.35">
      <c r="A262" t="s">
        <v>62</v>
      </c>
      <c r="B262" t="str">
        <f t="shared" si="8"/>
        <v>Saint-Estèphe</v>
      </c>
      <c r="C262" t="str">
        <f>IF(COUNTIF(cave_Appelations!$A:$A,$A262)&gt;0,$A262,"")</f>
        <v>Saint-Estèphe</v>
      </c>
    </row>
    <row r="263" spans="1:4" x14ac:dyDescent="0.35">
      <c r="A263" t="s">
        <v>119</v>
      </c>
      <c r="B263" t="str">
        <f t="shared" si="8"/>
        <v>Saint-Georges-Saint-Emilion</v>
      </c>
      <c r="C263" t="str">
        <f>IF(COUNTIF(cave_Appelations!$A:$A,$A263)&gt;0,$A263,"")</f>
        <v>Saint-Georges-Saint-Emilion</v>
      </c>
    </row>
    <row r="264" spans="1:4" x14ac:dyDescent="0.35">
      <c r="A264" t="s">
        <v>251</v>
      </c>
      <c r="B264" t="str">
        <f t="shared" si="8"/>
        <v>Saint-Joseph</v>
      </c>
      <c r="C264" t="str">
        <f>IF(COUNTIF(cave_Appelations!$A:$A,$A264)&gt;0,$A264,"")</f>
        <v>Saint-Joseph</v>
      </c>
    </row>
    <row r="265" spans="1:4" x14ac:dyDescent="0.35">
      <c r="A265" t="s">
        <v>69</v>
      </c>
      <c r="B265" t="str">
        <f t="shared" si="8"/>
        <v>Saint-Julien</v>
      </c>
      <c r="C265" t="str">
        <f>IF(COUNTIF(cave_Appelations!$A:$A,$A265)&gt;0,$A265,"")</f>
        <v>Saint-Julien</v>
      </c>
    </row>
    <row r="266" spans="1:4" x14ac:dyDescent="0.35">
      <c r="A266" t="s">
        <v>39</v>
      </c>
      <c r="B266" t="str">
        <f t="shared" si="8"/>
        <v>Saint-Mont</v>
      </c>
      <c r="C266" t="str">
        <f>IF(COUNTIF(cave_Appelations!$A:$A,$A266)&gt;0,$A266,"")</f>
        <v>Saint-Mont</v>
      </c>
    </row>
    <row r="267" spans="1:4" x14ac:dyDescent="0.35">
      <c r="A267" t="s">
        <v>262</v>
      </c>
      <c r="B267" t="str">
        <f t="shared" si="8"/>
        <v>Saint-Nicolas-de-Bourgueil</v>
      </c>
      <c r="C267" t="str">
        <f>IF(COUNTIF(cave_Appelations!$A:$A,$A267)&gt;0,$A267,"")</f>
        <v>Saint-Nicolas-de-Bourgueil</v>
      </c>
    </row>
    <row r="268" spans="1:4" x14ac:dyDescent="0.35">
      <c r="A268" t="s">
        <v>135</v>
      </c>
      <c r="B268" t="str">
        <f t="shared" ref="B268:B299" si="9">IF(C268="",D268,C268)</f>
        <v>Saint-Péray</v>
      </c>
      <c r="C268" t="str">
        <f>IF(COUNTIF(cave_Appelations!$A:$A,$A268)&gt;0,$A268,"")</f>
        <v>Saint-Péray</v>
      </c>
    </row>
    <row r="269" spans="1:4" x14ac:dyDescent="0.35">
      <c r="A269" t="s">
        <v>32</v>
      </c>
      <c r="B269" t="str">
        <f t="shared" si="9"/>
        <v>Saint-Pourçain</v>
      </c>
      <c r="C269" t="str">
        <f>IF(COUNTIF(cave_Appelations!$A:$A,$A269)&gt;0,$A269,"")</f>
        <v>Saint-Pourçain</v>
      </c>
    </row>
    <row r="270" spans="1:4" x14ac:dyDescent="0.35">
      <c r="A270" t="s">
        <v>36</v>
      </c>
      <c r="B270" t="str">
        <f t="shared" si="9"/>
        <v>Saint-Sardos</v>
      </c>
      <c r="C270" t="str">
        <f>IF(COUNTIF(cave_Appelations!$A:$A,$A270)&gt;0,$A270,"")</f>
        <v>Saint-Sardos</v>
      </c>
    </row>
    <row r="271" spans="1:4" x14ac:dyDescent="0.35">
      <c r="A271" t="s">
        <v>38</v>
      </c>
      <c r="B271" t="str">
        <f t="shared" si="9"/>
        <v>Sancerre</v>
      </c>
      <c r="C271" t="str">
        <f>IF(COUNTIF(cave_Appelations!$A:$A,$A271)&gt;0,$A271,"")</f>
        <v>Sancerre</v>
      </c>
    </row>
    <row r="272" spans="1:4" x14ac:dyDescent="0.35">
      <c r="A272" t="s">
        <v>209</v>
      </c>
      <c r="B272" t="str">
        <f t="shared" si="9"/>
        <v>Saumur</v>
      </c>
      <c r="C272" t="str">
        <f>IF(COUNTIF(cave_Appelations!$A:$A,$A272)&gt;0,$A272,"")</f>
        <v>Saumur</v>
      </c>
    </row>
    <row r="273" spans="1:5" x14ac:dyDescent="0.35">
      <c r="A273" t="s">
        <v>104</v>
      </c>
      <c r="B273" t="str">
        <f t="shared" si="9"/>
        <v>Saussignac</v>
      </c>
      <c r="C273" t="str">
        <f>IF(COUNTIF(cave_Appelations!$A:$A,$A273)&gt;0,$A273,"")</f>
        <v>Saussignac</v>
      </c>
    </row>
    <row r="274" spans="1:5" x14ac:dyDescent="0.35">
      <c r="A274" t="s">
        <v>80</v>
      </c>
      <c r="B274" t="str">
        <f t="shared" si="9"/>
        <v>Sauternes</v>
      </c>
      <c r="C274" t="str">
        <f>IF(COUNTIF(cave_Appelations!$A:$A,$A274)&gt;0,$A274,"")</f>
        <v>Sauternes</v>
      </c>
    </row>
    <row r="275" spans="1:5" x14ac:dyDescent="0.35">
      <c r="A275" t="s">
        <v>45</v>
      </c>
      <c r="B275" t="str">
        <f t="shared" si="9"/>
        <v>Seyssel</v>
      </c>
      <c r="C275" t="str">
        <f>IF(COUNTIF(cave_Appelations!$A:$A,$A275)&gt;0,$A275,"")</f>
        <v>Seyssel</v>
      </c>
    </row>
    <row r="276" spans="1:5" x14ac:dyDescent="0.35">
      <c r="A276" t="s">
        <v>21</v>
      </c>
      <c r="B276" t="str">
        <f t="shared" si="9"/>
        <v>Tavel</v>
      </c>
      <c r="C276" t="str">
        <f>IF(COUNTIF(cave_Appelations!$A:$A,$A276)&gt;0,$A276,"")</f>
        <v>Tavel</v>
      </c>
    </row>
    <row r="277" spans="1:5" x14ac:dyDescent="0.35">
      <c r="A277" t="s">
        <v>249</v>
      </c>
      <c r="B277" t="str">
        <f t="shared" si="9"/>
        <v>Terasses du Larzac</v>
      </c>
      <c r="C277" t="str">
        <f>IF(COUNTIF(cave_Appelations!$A:$A,$A277)&gt;0,$A277,"")</f>
        <v/>
      </c>
      <c r="D277" t="s">
        <v>624</v>
      </c>
    </row>
    <row r="278" spans="1:5" x14ac:dyDescent="0.35">
      <c r="A278" t="s">
        <v>169</v>
      </c>
      <c r="B278" t="str">
        <f t="shared" si="9"/>
        <v>Touraine</v>
      </c>
      <c r="C278" t="str">
        <f>IF(COUNTIF(cave_Appelations!$A:$A,$A278)&gt;0,$A278,"")</f>
        <v>Touraine</v>
      </c>
    </row>
    <row r="279" spans="1:5" x14ac:dyDescent="0.35">
      <c r="A279" t="s">
        <v>236</v>
      </c>
      <c r="B279" t="str">
        <f t="shared" si="9"/>
        <v>Touraine Azay-le-Rideau</v>
      </c>
      <c r="C279" t="str">
        <f>IF(COUNTIF(cave_Appelations!$A:$A,$A279)&gt;0,$A279,"")</f>
        <v>Touraine Azay-le-Rideau</v>
      </c>
    </row>
    <row r="280" spans="1:5" x14ac:dyDescent="0.35">
      <c r="A280" t="s">
        <v>233</v>
      </c>
      <c r="B280">
        <f t="shared" si="9"/>
        <v>0</v>
      </c>
      <c r="C280" t="str">
        <f>IF(COUNTIF(cave_Appelations!$A:$A,$A280)&gt;0,$A280,"")</f>
        <v/>
      </c>
      <c r="E280" t="str">
        <f>A280</f>
        <v>Touraine Chenonceaux</v>
      </c>
    </row>
    <row r="281" spans="1:5" x14ac:dyDescent="0.35">
      <c r="A281" t="s">
        <v>37</v>
      </c>
      <c r="B281" t="str">
        <f t="shared" si="9"/>
        <v>Tursan</v>
      </c>
      <c r="C281" t="str">
        <f>IF(COUNTIF(cave_Appelations!$A:$A,$A281)&gt;0,$A281,"")</f>
        <v>Tursan</v>
      </c>
    </row>
    <row r="282" spans="1:5" x14ac:dyDescent="0.35">
      <c r="A282" t="s">
        <v>40</v>
      </c>
      <c r="B282" t="str">
        <f t="shared" si="9"/>
        <v>Valençay</v>
      </c>
      <c r="C282" t="str">
        <f>IF(COUNTIF(cave_Appelations!$A:$A,$A282)&gt;0,$A282,"")</f>
        <v>Valençay</v>
      </c>
    </row>
    <row r="283" spans="1:5" x14ac:dyDescent="0.35">
      <c r="A283" t="s">
        <v>7</v>
      </c>
      <c r="B283" t="str">
        <f t="shared" si="9"/>
        <v>Ventoux</v>
      </c>
      <c r="C283" t="str">
        <f>IF(COUNTIF(cave_Appelations!$A:$A,$A283)&gt;0,$A283,"")</f>
        <v>Ventoux</v>
      </c>
    </row>
    <row r="284" spans="1:5" x14ac:dyDescent="0.35">
      <c r="A284" t="s">
        <v>115</v>
      </c>
      <c r="B284" t="str">
        <f t="shared" si="9"/>
        <v>Vin de Corse</v>
      </c>
      <c r="C284" t="str">
        <f>IF(COUNTIF(cave_Appelations!$A:$A,$A284)&gt;0,$A284,"")</f>
        <v/>
      </c>
      <c r="D284" s="1" t="s">
        <v>757</v>
      </c>
    </row>
    <row r="285" spans="1:5" x14ac:dyDescent="0.35">
      <c r="A285" t="s">
        <v>137</v>
      </c>
      <c r="B285" t="str">
        <f t="shared" si="9"/>
        <v>Vin de Corse</v>
      </c>
      <c r="C285" t="str">
        <f>IF(COUNTIF(cave_Appelations!$A:$A,$A285)&gt;0,$A285,"")</f>
        <v/>
      </c>
      <c r="D285" s="1" t="s">
        <v>757</v>
      </c>
    </row>
    <row r="286" spans="1:5" x14ac:dyDescent="0.35">
      <c r="A286" t="s">
        <v>11</v>
      </c>
      <c r="B286" t="str">
        <f t="shared" si="9"/>
        <v>Vin de Corse</v>
      </c>
      <c r="C286" t="str">
        <f>IF(COUNTIF(cave_Appelations!$A:$A,$A286)&gt;0,$A286,"")</f>
        <v/>
      </c>
      <c r="D286" s="1" t="s">
        <v>757</v>
      </c>
    </row>
    <row r="287" spans="1:5" x14ac:dyDescent="0.35">
      <c r="A287" t="s">
        <v>107</v>
      </c>
      <c r="B287" t="str">
        <f t="shared" si="9"/>
        <v>Vin de Corse</v>
      </c>
      <c r="C287" t="str">
        <f>IF(COUNTIF(cave_Appelations!$A:$A,$A287)&gt;0,$A287,"")</f>
        <v/>
      </c>
      <c r="D287" s="1" t="s">
        <v>757</v>
      </c>
    </row>
    <row r="288" spans="1:5" x14ac:dyDescent="0.35">
      <c r="A288" t="s">
        <v>159</v>
      </c>
      <c r="B288" t="str">
        <f t="shared" si="9"/>
        <v>Vin de Corse</v>
      </c>
      <c r="C288" t="str">
        <f>IF(COUNTIF(cave_Appelations!$A:$A,$A288)&gt;0,$A288,"")</f>
        <v/>
      </c>
      <c r="D288" s="1" t="s">
        <v>757</v>
      </c>
    </row>
    <row r="289" spans="1:4" x14ac:dyDescent="0.35">
      <c r="A289" t="s">
        <v>108</v>
      </c>
      <c r="B289" t="str">
        <f t="shared" si="9"/>
        <v>Vin de Corse</v>
      </c>
      <c r="C289" t="str">
        <f>IF(COUNTIF(cave_Appelations!$A:$A,$A289)&gt;0,$A289,"")</f>
        <v/>
      </c>
      <c r="D289" s="1" t="s">
        <v>757</v>
      </c>
    </row>
    <row r="290" spans="1:4" x14ac:dyDescent="0.35">
      <c r="A290" t="s">
        <v>291</v>
      </c>
      <c r="B290" t="str">
        <f t="shared" si="9"/>
        <v>Vin de Savoie</v>
      </c>
      <c r="C290" t="str">
        <f>IF(COUNTIF(cave_Appelations!$A:$A,$A290)&gt;0,$A290,"")</f>
        <v/>
      </c>
      <c r="D290" t="s">
        <v>810</v>
      </c>
    </row>
    <row r="291" spans="1:4" x14ac:dyDescent="0.35">
      <c r="A291" t="s">
        <v>238</v>
      </c>
      <c r="B291" t="str">
        <f t="shared" si="9"/>
        <v>Chignin Bergeron</v>
      </c>
      <c r="C291" t="str">
        <f>IF(COUNTIF(cave_Appelations!$A:$A,$A291)&gt;0,$A291,"")</f>
        <v/>
      </c>
      <c r="D291" t="s">
        <v>808</v>
      </c>
    </row>
    <row r="292" spans="1:4" x14ac:dyDescent="0.35">
      <c r="A292" t="s">
        <v>239</v>
      </c>
      <c r="B292" t="str">
        <f t="shared" si="9"/>
        <v>Vin de Savoie</v>
      </c>
      <c r="C292" t="str">
        <f>IF(COUNTIF(cave_Appelations!$A:$A,$A292)&gt;0,$A292,"")</f>
        <v/>
      </c>
      <c r="D292" t="s">
        <v>810</v>
      </c>
    </row>
    <row r="293" spans="1:4" x14ac:dyDescent="0.35">
      <c r="A293" t="s">
        <v>198</v>
      </c>
      <c r="B293" t="str">
        <f t="shared" si="9"/>
        <v>Vin de Savoie</v>
      </c>
      <c r="C293" t="str">
        <f>IF(COUNTIF(cave_Appelations!$A:$A,$A293)&gt;0,$A293,"")</f>
        <v/>
      </c>
      <c r="D293" t="s">
        <v>810</v>
      </c>
    </row>
    <row r="294" spans="1:4" x14ac:dyDescent="0.35">
      <c r="A294" t="s">
        <v>266</v>
      </c>
      <c r="B294" t="str">
        <f t="shared" si="9"/>
        <v>Vin de Savoie</v>
      </c>
      <c r="C294" t="str">
        <f>IF(COUNTIF(cave_Appelations!$A:$A,$A294)&gt;0,$A294,"")</f>
        <v/>
      </c>
      <c r="D294" t="s">
        <v>810</v>
      </c>
    </row>
    <row r="295" spans="1:4" x14ac:dyDescent="0.35">
      <c r="A295" t="s">
        <v>147</v>
      </c>
      <c r="B295" t="str">
        <f t="shared" si="9"/>
        <v>Vinsobres</v>
      </c>
      <c r="C295" t="str">
        <f>IF(COUNTIF(cave_Appelations!$A:$A,$A295)&gt;0,$A295,"")</f>
        <v>Vinsobres</v>
      </c>
    </row>
    <row r="296" spans="1:4" x14ac:dyDescent="0.35">
      <c r="A296" t="s">
        <v>280</v>
      </c>
      <c r="B296" t="str">
        <f t="shared" si="9"/>
        <v>Vougeot 1er Cru</v>
      </c>
      <c r="C296" t="str">
        <f>IF(COUNTIF(cave_Appelations!$A:$A,$A296)&gt;0,$A296,"")</f>
        <v/>
      </c>
      <c r="D296" t="s">
        <v>571</v>
      </c>
    </row>
    <row r="297" spans="1:4" x14ac:dyDescent="0.35">
      <c r="A297" t="s">
        <v>281</v>
      </c>
      <c r="B297" t="str">
        <f t="shared" si="9"/>
        <v>Vougeot 1er Cru</v>
      </c>
      <c r="C297" t="str">
        <f>IF(COUNTIF(cave_Appelations!$A:$A,$A297)&gt;0,$A297,"")</f>
        <v/>
      </c>
      <c r="D297" t="s">
        <v>571</v>
      </c>
    </row>
    <row r="298" spans="1:4" x14ac:dyDescent="0.35">
      <c r="A298" t="s">
        <v>268</v>
      </c>
      <c r="B298" t="str">
        <f t="shared" si="9"/>
        <v>Vouvray</v>
      </c>
      <c r="C298" t="str">
        <f>IF(COUNTIF(cave_Appelations!$A:$A,$A298)&gt;0,$A298,"")</f>
        <v>Vouvray</v>
      </c>
    </row>
  </sheetData>
  <autoFilter ref="A1:D298" xr:uid="{09FD0CA8-73AA-4FED-9285-FE40F16D01D0}">
    <sortState xmlns:xlrd2="http://schemas.microsoft.com/office/spreadsheetml/2017/richdata2" ref="A2:D298">
      <sortCondition ref="A1:A298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ED96A-8B8C-4066-AC87-FAD74F8F8462}">
          <x14:formula1>
            <xm:f>cave_Appelations!$A$2:$A$360</xm:f>
          </x14:formula1>
          <xm:sqref>D2:D298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96A8-8610-402A-B4B8-BB467E983D0A}">
  <dimension ref="A1:C360"/>
  <sheetViews>
    <sheetView zoomScaleNormal="100" workbookViewId="0">
      <selection activeCell="A67" sqref="A67"/>
    </sheetView>
  </sheetViews>
  <sheetFormatPr baseColWidth="10" defaultRowHeight="14.5" x14ac:dyDescent="0.35"/>
  <cols>
    <col min="1" max="1" width="33.1796875" bestFit="1" customWidth="1"/>
    <col min="2" max="2" width="10.7265625" bestFit="1" customWidth="1"/>
    <col min="3" max="3" width="37.26953125" bestFit="1" customWidth="1"/>
  </cols>
  <sheetData>
    <row r="1" spans="1:3" x14ac:dyDescent="0.35">
      <c r="A1" s="1" t="s">
        <v>298</v>
      </c>
      <c r="B1" s="1" t="s">
        <v>299</v>
      </c>
      <c r="C1" s="1" t="s">
        <v>300</v>
      </c>
    </row>
    <row r="2" spans="1:3" x14ac:dyDescent="0.35">
      <c r="A2" s="1" t="s">
        <v>608</v>
      </c>
      <c r="B2" s="1" t="s">
        <v>584</v>
      </c>
      <c r="C2" s="1" t="s">
        <v>609</v>
      </c>
    </row>
    <row r="3" spans="1:3" x14ac:dyDescent="0.35">
      <c r="A3" s="1" t="s">
        <v>81</v>
      </c>
      <c r="B3" s="1" t="s">
        <v>744</v>
      </c>
      <c r="C3" s="1" t="s">
        <v>755</v>
      </c>
    </row>
    <row r="4" spans="1:3" x14ac:dyDescent="0.35">
      <c r="A4" s="1" t="s">
        <v>586</v>
      </c>
      <c r="B4" s="1" t="s">
        <v>584</v>
      </c>
      <c r="C4" s="1" t="s">
        <v>587</v>
      </c>
    </row>
    <row r="5" spans="1:3" x14ac:dyDescent="0.35">
      <c r="A5" s="1" t="s">
        <v>523</v>
      </c>
      <c r="B5" s="1" t="s">
        <v>138</v>
      </c>
      <c r="C5" s="1" t="s">
        <v>524</v>
      </c>
    </row>
    <row r="6" spans="1:3" x14ac:dyDescent="0.35">
      <c r="A6" s="1" t="s">
        <v>480</v>
      </c>
      <c r="B6" s="1" t="s">
        <v>138</v>
      </c>
      <c r="C6" s="1" t="s">
        <v>481</v>
      </c>
    </row>
    <row r="7" spans="1:3" x14ac:dyDescent="0.35">
      <c r="A7" s="1" t="s">
        <v>100</v>
      </c>
      <c r="B7" s="1" t="s">
        <v>100</v>
      </c>
      <c r="C7" s="1" t="s">
        <v>305</v>
      </c>
    </row>
    <row r="8" spans="1:3" x14ac:dyDescent="0.35">
      <c r="A8" s="1" t="s">
        <v>314</v>
      </c>
      <c r="B8" s="1" t="s">
        <v>100</v>
      </c>
      <c r="C8" s="1" t="s">
        <v>315</v>
      </c>
    </row>
    <row r="9" spans="1:3" x14ac:dyDescent="0.35">
      <c r="A9" s="1" t="s">
        <v>596</v>
      </c>
      <c r="B9" s="1" t="s">
        <v>584</v>
      </c>
      <c r="C9" s="1" t="s">
        <v>597</v>
      </c>
    </row>
    <row r="10" spans="1:3" x14ac:dyDescent="0.35">
      <c r="A10" s="1" t="s">
        <v>29</v>
      </c>
      <c r="B10" s="1" t="s">
        <v>661</v>
      </c>
      <c r="C10" s="1" t="s">
        <v>693</v>
      </c>
    </row>
    <row r="11" spans="1:3" x14ac:dyDescent="0.35">
      <c r="A11" s="1" t="s">
        <v>219</v>
      </c>
      <c r="B11" s="1" t="s">
        <v>661</v>
      </c>
      <c r="C11" s="1" t="s">
        <v>682</v>
      </c>
    </row>
    <row r="12" spans="1:3" x14ac:dyDescent="0.35">
      <c r="A12" s="1" t="s">
        <v>729</v>
      </c>
      <c r="B12" s="1" t="s">
        <v>661</v>
      </c>
      <c r="C12" s="1" t="s">
        <v>730</v>
      </c>
    </row>
    <row r="13" spans="1:3" x14ac:dyDescent="0.35">
      <c r="A13" s="1" t="s">
        <v>680</v>
      </c>
      <c r="B13" s="1" t="s">
        <v>661</v>
      </c>
      <c r="C13" s="1" t="s">
        <v>681</v>
      </c>
    </row>
    <row r="14" spans="1:3" x14ac:dyDescent="0.35">
      <c r="A14" s="1" t="s">
        <v>174</v>
      </c>
      <c r="B14" s="1" t="s">
        <v>610</v>
      </c>
      <c r="C14" s="1" t="s">
        <v>612</v>
      </c>
    </row>
    <row r="15" spans="1:3" x14ac:dyDescent="0.35">
      <c r="A15" s="1" t="s">
        <v>590</v>
      </c>
      <c r="B15" s="1" t="s">
        <v>584</v>
      </c>
      <c r="C15" s="1" t="s">
        <v>591</v>
      </c>
    </row>
    <row r="16" spans="1:3" x14ac:dyDescent="0.35">
      <c r="A16" s="1" t="s">
        <v>604</v>
      </c>
      <c r="B16" s="1" t="s">
        <v>584</v>
      </c>
      <c r="C16" s="1" t="s">
        <v>605</v>
      </c>
    </row>
    <row r="17" spans="1:3" x14ac:dyDescent="0.35">
      <c r="A17" s="1" t="s">
        <v>535</v>
      </c>
      <c r="B17" s="1" t="s">
        <v>138</v>
      </c>
      <c r="C17" s="1" t="s">
        <v>536</v>
      </c>
    </row>
    <row r="18" spans="1:3" x14ac:dyDescent="0.35">
      <c r="A18" s="1" t="s">
        <v>6</v>
      </c>
      <c r="B18" s="1" t="s">
        <v>744</v>
      </c>
      <c r="C18" s="1" t="s">
        <v>748</v>
      </c>
    </row>
    <row r="19" spans="1:3" x14ac:dyDescent="0.35">
      <c r="A19" s="1" t="s">
        <v>183</v>
      </c>
      <c r="B19" s="1" t="s">
        <v>18</v>
      </c>
      <c r="C19" s="1" t="s">
        <v>656</v>
      </c>
    </row>
    <row r="20" spans="1:3" x14ac:dyDescent="0.35">
      <c r="A20" s="1" t="s">
        <v>184</v>
      </c>
      <c r="B20" s="1" t="s">
        <v>18</v>
      </c>
      <c r="C20" s="1" t="s">
        <v>645</v>
      </c>
    </row>
    <row r="21" spans="1:3" x14ac:dyDescent="0.35">
      <c r="A21" s="1" t="s">
        <v>79</v>
      </c>
      <c r="B21" s="1" t="s">
        <v>50</v>
      </c>
      <c r="C21" s="1" t="s">
        <v>367</v>
      </c>
    </row>
    <row r="22" spans="1:3" x14ac:dyDescent="0.35">
      <c r="A22" s="1" t="s">
        <v>424</v>
      </c>
      <c r="B22" s="1" t="s">
        <v>138</v>
      </c>
      <c r="C22" s="1" t="s">
        <v>425</v>
      </c>
    </row>
    <row r="23" spans="1:3" x14ac:dyDescent="0.35">
      <c r="A23" s="1" t="s">
        <v>155</v>
      </c>
      <c r="B23" s="1" t="s">
        <v>817</v>
      </c>
      <c r="C23" s="1" t="s">
        <v>850</v>
      </c>
    </row>
    <row r="24" spans="1:3" x14ac:dyDescent="0.35">
      <c r="A24" s="1" t="s">
        <v>162</v>
      </c>
      <c r="B24" s="1" t="s">
        <v>162</v>
      </c>
      <c r="C24" s="1" t="s">
        <v>323</v>
      </c>
    </row>
    <row r="25" spans="1:3" x14ac:dyDescent="0.35">
      <c r="A25" s="1" t="s">
        <v>337</v>
      </c>
      <c r="B25" s="1" t="s">
        <v>162</v>
      </c>
      <c r="C25" s="1" t="s">
        <v>338</v>
      </c>
    </row>
    <row r="26" spans="1:3" x14ac:dyDescent="0.35">
      <c r="A26" s="1" t="s">
        <v>193</v>
      </c>
      <c r="B26" s="1" t="s">
        <v>762</v>
      </c>
      <c r="C26" s="1" t="s">
        <v>775</v>
      </c>
    </row>
    <row r="27" spans="1:3" x14ac:dyDescent="0.35">
      <c r="A27" s="1" t="s">
        <v>469</v>
      </c>
      <c r="B27" s="1" t="s">
        <v>138</v>
      </c>
      <c r="C27" s="1" t="s">
        <v>470</v>
      </c>
    </row>
    <row r="28" spans="1:3" x14ac:dyDescent="0.35">
      <c r="A28" s="1" t="s">
        <v>507</v>
      </c>
      <c r="B28" s="1" t="s">
        <v>138</v>
      </c>
      <c r="C28" s="1" t="s">
        <v>508</v>
      </c>
    </row>
    <row r="29" spans="1:3" x14ac:dyDescent="0.35">
      <c r="A29" s="1" t="s">
        <v>753</v>
      </c>
      <c r="B29" s="1" t="s">
        <v>744</v>
      </c>
      <c r="C29" s="1" t="s">
        <v>754</v>
      </c>
    </row>
    <row r="30" spans="1:3" x14ac:dyDescent="0.35">
      <c r="A30" s="1" t="s">
        <v>56</v>
      </c>
      <c r="B30" s="1" t="s">
        <v>817</v>
      </c>
      <c r="C30" s="1" t="s">
        <v>834</v>
      </c>
    </row>
    <row r="31" spans="1:3" x14ac:dyDescent="0.35">
      <c r="A31" s="1" t="s">
        <v>482</v>
      </c>
      <c r="B31" s="1" t="s">
        <v>138</v>
      </c>
      <c r="C31" s="1" t="s">
        <v>483</v>
      </c>
    </row>
    <row r="32" spans="1:3" x14ac:dyDescent="0.35">
      <c r="A32" s="1" t="s">
        <v>430</v>
      </c>
      <c r="B32" s="1" t="s">
        <v>138</v>
      </c>
      <c r="C32" s="1" t="s">
        <v>431</v>
      </c>
    </row>
    <row r="33" spans="1:3" x14ac:dyDescent="0.35">
      <c r="A33" s="1" t="s">
        <v>93</v>
      </c>
      <c r="B33" s="1" t="s">
        <v>50</v>
      </c>
      <c r="C33" s="1" t="s">
        <v>344</v>
      </c>
    </row>
    <row r="34" spans="1:3" x14ac:dyDescent="0.35">
      <c r="A34" s="1" t="s">
        <v>414</v>
      </c>
      <c r="B34" s="1" t="s">
        <v>138</v>
      </c>
      <c r="C34" s="1" t="s">
        <v>415</v>
      </c>
    </row>
    <row r="35" spans="1:3" x14ac:dyDescent="0.35">
      <c r="A35" s="1" t="s">
        <v>666</v>
      </c>
      <c r="B35" s="1" t="s">
        <v>661</v>
      </c>
      <c r="C35" s="1" t="s">
        <v>667</v>
      </c>
    </row>
    <row r="36" spans="1:3" x14ac:dyDescent="0.35">
      <c r="A36" s="1" t="s">
        <v>50</v>
      </c>
      <c r="B36" s="1" t="s">
        <v>50</v>
      </c>
      <c r="C36" s="1" t="s">
        <v>365</v>
      </c>
    </row>
    <row r="37" spans="1:3" x14ac:dyDescent="0.35">
      <c r="A37" s="1" t="s">
        <v>51</v>
      </c>
      <c r="B37" s="1" t="s">
        <v>50</v>
      </c>
      <c r="C37" s="1" t="s">
        <v>349</v>
      </c>
    </row>
    <row r="38" spans="1:3" x14ac:dyDescent="0.35">
      <c r="A38" s="1" t="s">
        <v>138</v>
      </c>
      <c r="B38" s="1" t="s">
        <v>138</v>
      </c>
      <c r="C38" s="1" t="s">
        <v>405</v>
      </c>
    </row>
    <row r="39" spans="1:3" x14ac:dyDescent="0.35">
      <c r="A39" s="1" t="s">
        <v>140</v>
      </c>
      <c r="B39" s="1" t="s">
        <v>138</v>
      </c>
      <c r="C39" s="1" t="s">
        <v>389</v>
      </c>
    </row>
    <row r="40" spans="1:3" x14ac:dyDescent="0.35">
      <c r="A40" s="1" t="s">
        <v>333</v>
      </c>
      <c r="B40" s="1" t="s">
        <v>162</v>
      </c>
      <c r="C40" s="1" t="s">
        <v>334</v>
      </c>
    </row>
    <row r="41" spans="1:3" x14ac:dyDescent="0.35">
      <c r="A41" s="1" t="s">
        <v>287</v>
      </c>
      <c r="B41" s="1" t="s">
        <v>138</v>
      </c>
      <c r="C41" s="1" t="s">
        <v>552</v>
      </c>
    </row>
    <row r="42" spans="1:3" x14ac:dyDescent="0.35">
      <c r="A42" s="1" t="s">
        <v>141</v>
      </c>
      <c r="B42" s="1" t="s">
        <v>138</v>
      </c>
      <c r="C42" s="1" t="s">
        <v>393</v>
      </c>
    </row>
    <row r="43" spans="1:3" x14ac:dyDescent="0.35">
      <c r="A43" s="1" t="s">
        <v>139</v>
      </c>
      <c r="B43" s="1" t="s">
        <v>138</v>
      </c>
      <c r="C43" s="1" t="s">
        <v>506</v>
      </c>
    </row>
    <row r="44" spans="1:3" x14ac:dyDescent="0.35">
      <c r="A44" s="1" t="s">
        <v>187</v>
      </c>
      <c r="B44" s="1" t="s">
        <v>661</v>
      </c>
      <c r="C44" s="1" t="s">
        <v>706</v>
      </c>
    </row>
    <row r="45" spans="1:3" x14ac:dyDescent="0.35">
      <c r="A45" s="1" t="s">
        <v>426</v>
      </c>
      <c r="B45" s="1" t="s">
        <v>138</v>
      </c>
      <c r="C45" s="1" t="s">
        <v>427</v>
      </c>
    </row>
    <row r="46" spans="1:3" x14ac:dyDescent="0.35">
      <c r="A46" s="1" t="s">
        <v>180</v>
      </c>
      <c r="B46" s="1" t="s">
        <v>162</v>
      </c>
      <c r="C46" s="1" t="s">
        <v>322</v>
      </c>
    </row>
    <row r="47" spans="1:3" x14ac:dyDescent="0.35">
      <c r="A47" s="1" t="s">
        <v>23</v>
      </c>
      <c r="B47" s="1" t="s">
        <v>817</v>
      </c>
      <c r="C47" s="1" t="s">
        <v>849</v>
      </c>
    </row>
    <row r="48" spans="1:3" x14ac:dyDescent="0.35">
      <c r="A48" s="1" t="s">
        <v>283</v>
      </c>
      <c r="B48" s="1" t="s">
        <v>804</v>
      </c>
      <c r="C48" s="1" t="s">
        <v>805</v>
      </c>
    </row>
    <row r="49" spans="1:3" x14ac:dyDescent="0.35">
      <c r="A49" s="1" t="s">
        <v>806</v>
      </c>
      <c r="B49" s="1" t="s">
        <v>804</v>
      </c>
      <c r="C49" s="1" t="s">
        <v>807</v>
      </c>
    </row>
    <row r="50" spans="1:3" x14ac:dyDescent="0.35">
      <c r="A50" s="1" t="s">
        <v>813</v>
      </c>
      <c r="B50" s="1" t="s">
        <v>804</v>
      </c>
      <c r="C50" s="1" t="s">
        <v>814</v>
      </c>
    </row>
    <row r="51" spans="1:3" x14ac:dyDescent="0.35">
      <c r="A51" s="1" t="s">
        <v>2</v>
      </c>
      <c r="B51" s="1" t="s">
        <v>817</v>
      </c>
      <c r="C51" s="1" t="s">
        <v>833</v>
      </c>
    </row>
    <row r="52" spans="1:3" x14ac:dyDescent="0.35">
      <c r="A52" s="1" t="s">
        <v>26</v>
      </c>
      <c r="B52" s="1" t="s">
        <v>18</v>
      </c>
      <c r="C52" s="1" t="s">
        <v>653</v>
      </c>
    </row>
    <row r="53" spans="1:3" x14ac:dyDescent="0.35">
      <c r="A53" s="1" t="s">
        <v>207</v>
      </c>
      <c r="B53" s="1" t="s">
        <v>661</v>
      </c>
      <c r="C53" s="1" t="s">
        <v>694</v>
      </c>
    </row>
    <row r="54" spans="1:3" x14ac:dyDescent="0.35">
      <c r="A54" s="1" t="s">
        <v>684</v>
      </c>
      <c r="B54" s="1" t="s">
        <v>661</v>
      </c>
      <c r="C54" s="1" t="s">
        <v>685</v>
      </c>
    </row>
    <row r="55" spans="1:3" x14ac:dyDescent="0.35">
      <c r="A55" s="1" t="s">
        <v>82</v>
      </c>
      <c r="B55" s="1" t="s">
        <v>50</v>
      </c>
      <c r="C55" s="1" t="s">
        <v>381</v>
      </c>
    </row>
    <row r="56" spans="1:3" x14ac:dyDescent="0.35">
      <c r="A56" s="1" t="s">
        <v>24</v>
      </c>
      <c r="B56" s="1" t="s">
        <v>817</v>
      </c>
      <c r="C56" s="1" t="s">
        <v>848</v>
      </c>
    </row>
    <row r="57" spans="1:3" x14ac:dyDescent="0.35">
      <c r="A57" s="1" t="s">
        <v>146</v>
      </c>
      <c r="B57" s="1" t="s">
        <v>50</v>
      </c>
      <c r="C57" s="1" t="s">
        <v>384</v>
      </c>
    </row>
    <row r="58" spans="1:3" x14ac:dyDescent="0.35">
      <c r="A58" s="1" t="s">
        <v>749</v>
      </c>
      <c r="B58" s="1" t="s">
        <v>744</v>
      </c>
      <c r="C58" s="1" t="s">
        <v>750</v>
      </c>
    </row>
    <row r="59" spans="1:3" x14ac:dyDescent="0.35">
      <c r="A59" s="1" t="s">
        <v>89</v>
      </c>
      <c r="B59" s="1" t="s">
        <v>50</v>
      </c>
      <c r="C59" s="1" t="s">
        <v>351</v>
      </c>
    </row>
    <row r="60" spans="1:3" x14ac:dyDescent="0.35">
      <c r="A60" s="1" t="s">
        <v>123</v>
      </c>
      <c r="B60" s="1" t="s">
        <v>138</v>
      </c>
      <c r="C60" s="1" t="s">
        <v>484</v>
      </c>
    </row>
    <row r="61" spans="1:3" x14ac:dyDescent="0.35">
      <c r="A61" s="1" t="s">
        <v>475</v>
      </c>
      <c r="B61" s="1" t="s">
        <v>138</v>
      </c>
      <c r="C61" s="1" t="s">
        <v>476</v>
      </c>
    </row>
    <row r="62" spans="1:3" x14ac:dyDescent="0.35">
      <c r="A62" s="1" t="s">
        <v>455</v>
      </c>
      <c r="B62" s="1" t="s">
        <v>138</v>
      </c>
      <c r="C62" s="1" t="s">
        <v>456</v>
      </c>
    </row>
    <row r="63" spans="1:3" x14ac:dyDescent="0.35">
      <c r="A63" s="1" t="s">
        <v>451</v>
      </c>
      <c r="B63" s="1" t="s">
        <v>138</v>
      </c>
      <c r="C63" s="1" t="s">
        <v>452</v>
      </c>
    </row>
    <row r="64" spans="1:3" x14ac:dyDescent="0.35">
      <c r="A64" s="1" t="s">
        <v>434</v>
      </c>
      <c r="B64" s="1" t="s">
        <v>138</v>
      </c>
      <c r="C64" s="1" t="s">
        <v>435</v>
      </c>
    </row>
    <row r="65" spans="1:3" x14ac:dyDescent="0.35">
      <c r="A65" s="1" t="s">
        <v>441</v>
      </c>
      <c r="B65" s="1" t="s">
        <v>138</v>
      </c>
      <c r="C65" s="1" t="s">
        <v>442</v>
      </c>
    </row>
    <row r="66" spans="1:3" x14ac:dyDescent="0.35">
      <c r="A66" s="1" t="s">
        <v>418</v>
      </c>
      <c r="B66" s="1" t="s">
        <v>138</v>
      </c>
      <c r="C66" s="1" t="s">
        <v>419</v>
      </c>
    </row>
    <row r="67" spans="1:3" x14ac:dyDescent="0.35">
      <c r="A67" s="1" t="s">
        <v>573</v>
      </c>
      <c r="B67" s="1" t="s">
        <v>573</v>
      </c>
      <c r="C67" s="1" t="s">
        <v>574</v>
      </c>
    </row>
    <row r="68" spans="1:3" x14ac:dyDescent="0.35">
      <c r="A68" s="1" t="s">
        <v>416</v>
      </c>
      <c r="B68" s="1" t="s">
        <v>138</v>
      </c>
      <c r="C68" s="1" t="s">
        <v>417</v>
      </c>
    </row>
    <row r="69" spans="1:3" x14ac:dyDescent="0.35">
      <c r="A69" s="1" t="s">
        <v>410</v>
      </c>
      <c r="B69" s="1" t="s">
        <v>138</v>
      </c>
      <c r="C69" s="1" t="s">
        <v>411</v>
      </c>
    </row>
    <row r="70" spans="1:3" x14ac:dyDescent="0.35">
      <c r="A70" s="1" t="s">
        <v>406</v>
      </c>
      <c r="B70" s="1" t="s">
        <v>138</v>
      </c>
      <c r="C70" s="1" t="s">
        <v>407</v>
      </c>
    </row>
    <row r="71" spans="1:3" x14ac:dyDescent="0.35">
      <c r="A71" s="1" t="s">
        <v>403</v>
      </c>
      <c r="B71" s="1" t="s">
        <v>138</v>
      </c>
      <c r="C71" s="1" t="s">
        <v>404</v>
      </c>
    </row>
    <row r="72" spans="1:3" x14ac:dyDescent="0.35">
      <c r="A72" s="1" t="s">
        <v>408</v>
      </c>
      <c r="B72" s="1" t="s">
        <v>138</v>
      </c>
      <c r="C72" s="1" t="s">
        <v>409</v>
      </c>
    </row>
    <row r="73" spans="1:3" x14ac:dyDescent="0.35">
      <c r="A73" s="1" t="s">
        <v>614</v>
      </c>
      <c r="B73" s="1" t="s">
        <v>610</v>
      </c>
      <c r="C73" s="1" t="s">
        <v>615</v>
      </c>
    </row>
    <row r="74" spans="1:3" x14ac:dyDescent="0.35">
      <c r="A74" s="1" t="s">
        <v>772</v>
      </c>
      <c r="B74" s="1" t="s">
        <v>762</v>
      </c>
      <c r="C74" s="1" t="s">
        <v>773</v>
      </c>
    </row>
    <row r="75" spans="1:3" x14ac:dyDescent="0.35">
      <c r="A75" s="1" t="s">
        <v>675</v>
      </c>
      <c r="B75" s="1" t="s">
        <v>661</v>
      </c>
      <c r="C75" s="1" t="s">
        <v>676</v>
      </c>
    </row>
    <row r="76" spans="1:3" x14ac:dyDescent="0.35">
      <c r="A76" s="1" t="s">
        <v>195</v>
      </c>
      <c r="B76" s="1" t="s">
        <v>762</v>
      </c>
      <c r="C76" s="1" t="s">
        <v>794</v>
      </c>
    </row>
    <row r="77" spans="1:3" x14ac:dyDescent="0.35">
      <c r="A77" s="1" t="s">
        <v>149</v>
      </c>
      <c r="B77" s="1" t="s">
        <v>762</v>
      </c>
      <c r="C77" s="1" t="s">
        <v>778</v>
      </c>
    </row>
    <row r="78" spans="1:3" x14ac:dyDescent="0.35">
      <c r="A78" s="1" t="s">
        <v>331</v>
      </c>
      <c r="B78" s="1" t="s">
        <v>162</v>
      </c>
      <c r="C78" s="1" t="s">
        <v>332</v>
      </c>
    </row>
    <row r="79" spans="1:3" x14ac:dyDescent="0.35">
      <c r="A79" s="1" t="s">
        <v>493</v>
      </c>
      <c r="B79" s="1" t="s">
        <v>138</v>
      </c>
      <c r="C79" s="1" t="s">
        <v>494</v>
      </c>
    </row>
    <row r="80" spans="1:3" x14ac:dyDescent="0.35">
      <c r="A80" s="1" t="s">
        <v>41</v>
      </c>
      <c r="B80" s="1" t="s">
        <v>661</v>
      </c>
      <c r="C80" s="1" t="s">
        <v>670</v>
      </c>
    </row>
    <row r="81" spans="1:3" x14ac:dyDescent="0.35">
      <c r="A81" s="1" t="s">
        <v>808</v>
      </c>
      <c r="B81" s="1" t="s">
        <v>804</v>
      </c>
      <c r="C81" s="1" t="s">
        <v>809</v>
      </c>
    </row>
    <row r="82" spans="1:3" x14ac:dyDescent="0.35">
      <c r="A82" s="1" t="s">
        <v>598</v>
      </c>
      <c r="B82" s="1" t="s">
        <v>584</v>
      </c>
      <c r="C82" s="1" t="s">
        <v>599</v>
      </c>
    </row>
    <row r="83" spans="1:3" x14ac:dyDescent="0.35">
      <c r="A83" s="1" t="s">
        <v>166</v>
      </c>
      <c r="B83" s="1" t="s">
        <v>661</v>
      </c>
      <c r="C83" s="1" t="s">
        <v>663</v>
      </c>
    </row>
    <row r="84" spans="1:3" x14ac:dyDescent="0.35">
      <c r="A84" s="1" t="s">
        <v>329</v>
      </c>
      <c r="B84" s="1" t="s">
        <v>162</v>
      </c>
      <c r="C84" s="1" t="s">
        <v>330</v>
      </c>
    </row>
    <row r="85" spans="1:3" x14ac:dyDescent="0.35">
      <c r="A85" s="1" t="s">
        <v>485</v>
      </c>
      <c r="B85" s="1" t="s">
        <v>138</v>
      </c>
      <c r="C85" s="1" t="s">
        <v>486</v>
      </c>
    </row>
    <row r="86" spans="1:3" x14ac:dyDescent="0.35">
      <c r="A86" s="1" t="s">
        <v>16</v>
      </c>
      <c r="B86" s="1" t="s">
        <v>18</v>
      </c>
      <c r="C86" s="1" t="s">
        <v>640</v>
      </c>
    </row>
    <row r="87" spans="1:3" x14ac:dyDescent="0.35">
      <c r="A87" s="1" t="s">
        <v>109</v>
      </c>
      <c r="B87" s="1" t="s">
        <v>762</v>
      </c>
      <c r="C87" s="1" t="s">
        <v>803</v>
      </c>
    </row>
    <row r="88" spans="1:3" x14ac:dyDescent="0.35">
      <c r="A88" s="1" t="s">
        <v>121</v>
      </c>
      <c r="B88" s="1" t="s">
        <v>18</v>
      </c>
      <c r="C88" s="1" t="s">
        <v>652</v>
      </c>
    </row>
    <row r="89" spans="1:3" x14ac:dyDescent="0.35">
      <c r="A89" s="1" t="s">
        <v>546</v>
      </c>
      <c r="B89" s="1" t="s">
        <v>138</v>
      </c>
      <c r="C89" s="1" t="s">
        <v>547</v>
      </c>
    </row>
    <row r="90" spans="1:3" x14ac:dyDescent="0.35">
      <c r="A90" s="1" t="s">
        <v>559</v>
      </c>
      <c r="B90" s="1" t="s">
        <v>138</v>
      </c>
      <c r="C90" s="1" t="s">
        <v>560</v>
      </c>
    </row>
    <row r="91" spans="1:3" x14ac:dyDescent="0.35">
      <c r="A91" s="1" t="s">
        <v>555</v>
      </c>
      <c r="B91" s="1" t="s">
        <v>138</v>
      </c>
      <c r="C91" s="1" t="s">
        <v>556</v>
      </c>
    </row>
    <row r="92" spans="1:3" x14ac:dyDescent="0.35">
      <c r="A92" s="1" t="s">
        <v>548</v>
      </c>
      <c r="B92" s="1" t="s">
        <v>138</v>
      </c>
      <c r="C92" s="1" t="s">
        <v>549</v>
      </c>
    </row>
    <row r="93" spans="1:3" x14ac:dyDescent="0.35">
      <c r="A93" s="1" t="s">
        <v>544</v>
      </c>
      <c r="B93" s="1" t="s">
        <v>138</v>
      </c>
      <c r="C93" s="1" t="s">
        <v>545</v>
      </c>
    </row>
    <row r="94" spans="1:3" x14ac:dyDescent="0.35">
      <c r="A94" s="1" t="s">
        <v>579</v>
      </c>
      <c r="B94" s="1" t="s">
        <v>579</v>
      </c>
      <c r="C94" s="1" t="s">
        <v>580</v>
      </c>
    </row>
    <row r="95" spans="1:3" x14ac:dyDescent="0.35">
      <c r="A95" s="1" t="s">
        <v>185</v>
      </c>
      <c r="B95" s="1" t="s">
        <v>18</v>
      </c>
      <c r="C95" s="1" t="s">
        <v>655</v>
      </c>
    </row>
    <row r="96" spans="1:3" x14ac:dyDescent="0.35">
      <c r="A96" s="1" t="s">
        <v>796</v>
      </c>
      <c r="B96" s="1" t="s">
        <v>762</v>
      </c>
      <c r="C96" s="1" t="s">
        <v>797</v>
      </c>
    </row>
    <row r="97" spans="1:3" x14ac:dyDescent="0.35">
      <c r="A97" s="1" t="s">
        <v>96</v>
      </c>
      <c r="B97" s="1" t="s">
        <v>18</v>
      </c>
      <c r="C97" s="1" t="s">
        <v>648</v>
      </c>
    </row>
    <row r="98" spans="1:3" x14ac:dyDescent="0.35">
      <c r="A98" s="1" t="s">
        <v>200</v>
      </c>
      <c r="B98" s="1" t="s">
        <v>18</v>
      </c>
      <c r="C98" s="1" t="s">
        <v>642</v>
      </c>
    </row>
    <row r="99" spans="1:3" x14ac:dyDescent="0.35">
      <c r="A99" s="1" t="s">
        <v>154</v>
      </c>
      <c r="B99" s="1" t="s">
        <v>762</v>
      </c>
      <c r="C99" s="1" t="s">
        <v>789</v>
      </c>
    </row>
    <row r="100" spans="1:3" x14ac:dyDescent="0.35">
      <c r="A100" s="1" t="s">
        <v>537</v>
      </c>
      <c r="B100" s="1" t="s">
        <v>138</v>
      </c>
      <c r="C100" s="1" t="s">
        <v>538</v>
      </c>
    </row>
    <row r="101" spans="1:3" x14ac:dyDescent="0.35">
      <c r="A101" s="1" t="s">
        <v>542</v>
      </c>
      <c r="B101" s="1" t="s">
        <v>138</v>
      </c>
      <c r="C101" s="1" t="s">
        <v>543</v>
      </c>
    </row>
    <row r="102" spans="1:3" x14ac:dyDescent="0.35">
      <c r="A102" s="1" t="s">
        <v>443</v>
      </c>
      <c r="B102" s="1" t="s">
        <v>138</v>
      </c>
      <c r="C102" s="1" t="s">
        <v>444</v>
      </c>
    </row>
    <row r="103" spans="1:3" x14ac:dyDescent="0.35">
      <c r="A103" s="1" t="s">
        <v>8</v>
      </c>
      <c r="B103" s="1" t="s">
        <v>18</v>
      </c>
      <c r="C103" s="1" t="s">
        <v>636</v>
      </c>
    </row>
    <row r="104" spans="1:3" x14ac:dyDescent="0.35">
      <c r="A104" s="1" t="s">
        <v>533</v>
      </c>
      <c r="B104" s="1" t="s">
        <v>138</v>
      </c>
      <c r="C104" s="1" t="s">
        <v>534</v>
      </c>
    </row>
    <row r="105" spans="1:3" x14ac:dyDescent="0.35">
      <c r="A105" s="1" t="s">
        <v>521</v>
      </c>
      <c r="B105" s="1" t="s">
        <v>138</v>
      </c>
      <c r="C105" s="1" t="s">
        <v>522</v>
      </c>
    </row>
    <row r="106" spans="1:3" x14ac:dyDescent="0.35">
      <c r="A106" s="1" t="s">
        <v>550</v>
      </c>
      <c r="B106" s="1" t="s">
        <v>138</v>
      </c>
      <c r="C106" s="1" t="s">
        <v>551</v>
      </c>
    </row>
    <row r="107" spans="1:3" x14ac:dyDescent="0.35">
      <c r="A107" s="1" t="s">
        <v>727</v>
      </c>
      <c r="B107" s="1" t="s">
        <v>661</v>
      </c>
      <c r="C107" s="1" t="s">
        <v>728</v>
      </c>
    </row>
    <row r="108" spans="1:3" x14ac:dyDescent="0.35">
      <c r="A108" s="1" t="s">
        <v>780</v>
      </c>
      <c r="B108" s="1" t="s">
        <v>762</v>
      </c>
      <c r="C108" s="1" t="s">
        <v>781</v>
      </c>
    </row>
    <row r="109" spans="1:3" x14ac:dyDescent="0.35">
      <c r="A109" s="1" t="s">
        <v>527</v>
      </c>
      <c r="B109" s="1" t="s">
        <v>138</v>
      </c>
      <c r="C109" s="1" t="s">
        <v>528</v>
      </c>
    </row>
    <row r="110" spans="1:3" x14ac:dyDescent="0.35">
      <c r="A110" s="1" t="s">
        <v>575</v>
      </c>
      <c r="B110" s="1" t="s">
        <v>573</v>
      </c>
      <c r="C110" s="1" t="s">
        <v>576</v>
      </c>
    </row>
    <row r="111" spans="1:3" x14ac:dyDescent="0.35">
      <c r="A111" s="1" t="s">
        <v>3</v>
      </c>
      <c r="B111" s="1" t="s">
        <v>744</v>
      </c>
      <c r="C111" s="1" t="s">
        <v>760</v>
      </c>
    </row>
    <row r="112" spans="1:3" x14ac:dyDescent="0.35">
      <c r="A112" s="1" t="s">
        <v>713</v>
      </c>
      <c r="B112" s="1" t="s">
        <v>661</v>
      </c>
      <c r="C112" s="1" t="s">
        <v>714</v>
      </c>
    </row>
    <row r="113" spans="1:3" x14ac:dyDescent="0.35">
      <c r="A113" s="1" t="s">
        <v>110</v>
      </c>
      <c r="B113" s="1" t="s">
        <v>762</v>
      </c>
      <c r="C113" s="1" t="s">
        <v>774</v>
      </c>
    </row>
    <row r="114" spans="1:3" x14ac:dyDescent="0.35">
      <c r="A114" s="1" t="s">
        <v>768</v>
      </c>
      <c r="B114" s="1" t="s">
        <v>762</v>
      </c>
      <c r="C114" s="1" t="s">
        <v>769</v>
      </c>
    </row>
    <row r="115" spans="1:3" x14ac:dyDescent="0.35">
      <c r="A115" s="1" t="s">
        <v>703</v>
      </c>
      <c r="B115" s="1" t="s">
        <v>661</v>
      </c>
      <c r="C115" s="1" t="s">
        <v>704</v>
      </c>
    </row>
    <row r="116" spans="1:3" x14ac:dyDescent="0.35">
      <c r="A116" s="1" t="s">
        <v>267</v>
      </c>
      <c r="B116" s="1" t="s">
        <v>661</v>
      </c>
      <c r="C116" s="1" t="s">
        <v>698</v>
      </c>
    </row>
    <row r="117" spans="1:3" x14ac:dyDescent="0.35">
      <c r="A117" s="1" t="s">
        <v>696</v>
      </c>
      <c r="B117" s="1" t="s">
        <v>661</v>
      </c>
      <c r="C117" s="1" t="s">
        <v>697</v>
      </c>
    </row>
    <row r="118" spans="1:3" x14ac:dyDescent="0.35">
      <c r="A118" s="1" t="s">
        <v>630</v>
      </c>
      <c r="B118" s="1" t="s">
        <v>18</v>
      </c>
      <c r="C118" s="1" t="s">
        <v>631</v>
      </c>
    </row>
    <row r="119" spans="1:3" x14ac:dyDescent="0.35">
      <c r="A119" s="1" t="s">
        <v>220</v>
      </c>
      <c r="B119" s="1" t="s">
        <v>661</v>
      </c>
      <c r="C119" s="1" t="s">
        <v>695</v>
      </c>
    </row>
    <row r="120" spans="1:3" x14ac:dyDescent="0.35">
      <c r="A120" s="1" t="s">
        <v>691</v>
      </c>
      <c r="B120" s="1" t="s">
        <v>661</v>
      </c>
      <c r="C120" s="1" t="s">
        <v>692</v>
      </c>
    </row>
    <row r="121" spans="1:3" x14ac:dyDescent="0.35">
      <c r="A121" s="1" t="s">
        <v>46</v>
      </c>
      <c r="B121" s="1" t="s">
        <v>762</v>
      </c>
      <c r="C121" s="1" t="s">
        <v>802</v>
      </c>
    </row>
    <row r="122" spans="1:3" x14ac:dyDescent="0.35">
      <c r="A122" s="1" t="s">
        <v>43</v>
      </c>
      <c r="B122" s="1" t="s">
        <v>817</v>
      </c>
      <c r="C122" s="1" t="s">
        <v>844</v>
      </c>
    </row>
    <row r="123" spans="1:3" x14ac:dyDescent="0.35">
      <c r="A123" s="1" t="s">
        <v>689</v>
      </c>
      <c r="B123" s="1" t="s">
        <v>661</v>
      </c>
      <c r="C123" s="1" t="s">
        <v>690</v>
      </c>
    </row>
    <row r="124" spans="1:3" x14ac:dyDescent="0.35">
      <c r="A124" s="1" t="s">
        <v>20</v>
      </c>
      <c r="B124" s="1" t="s">
        <v>744</v>
      </c>
      <c r="C124" s="1" t="s">
        <v>756</v>
      </c>
    </row>
    <row r="125" spans="1:3" x14ac:dyDescent="0.35">
      <c r="A125" s="1" t="s">
        <v>622</v>
      </c>
      <c r="B125" s="1" t="s">
        <v>18</v>
      </c>
      <c r="C125" s="1" t="s">
        <v>623</v>
      </c>
    </row>
    <row r="126" spans="1:3" x14ac:dyDescent="0.35">
      <c r="A126" s="1" t="s">
        <v>687</v>
      </c>
      <c r="B126" s="1" t="s">
        <v>661</v>
      </c>
      <c r="C126" s="1" t="s">
        <v>688</v>
      </c>
    </row>
    <row r="127" spans="1:3" x14ac:dyDescent="0.35">
      <c r="A127" s="1" t="s">
        <v>57</v>
      </c>
      <c r="B127" s="1" t="s">
        <v>817</v>
      </c>
      <c r="C127" s="1" t="s">
        <v>841</v>
      </c>
    </row>
    <row r="128" spans="1:3" x14ac:dyDescent="0.35">
      <c r="A128" s="1" t="s">
        <v>94</v>
      </c>
      <c r="B128" s="1" t="s">
        <v>50</v>
      </c>
      <c r="C128" s="1" t="s">
        <v>364</v>
      </c>
    </row>
    <row r="129" spans="1:3" x14ac:dyDescent="0.35">
      <c r="A129" s="1" t="s">
        <v>77</v>
      </c>
      <c r="B129" s="1" t="s">
        <v>50</v>
      </c>
      <c r="C129" s="1" t="s">
        <v>342</v>
      </c>
    </row>
    <row r="130" spans="1:3" x14ac:dyDescent="0.35">
      <c r="A130" s="1" t="s">
        <v>92</v>
      </c>
      <c r="B130" s="1" t="s">
        <v>50</v>
      </c>
      <c r="C130" s="1" t="s">
        <v>346</v>
      </c>
    </row>
    <row r="131" spans="1:3" x14ac:dyDescent="0.35">
      <c r="A131" s="1" t="s">
        <v>362</v>
      </c>
      <c r="B131" s="1" t="s">
        <v>50</v>
      </c>
      <c r="C131" s="1" t="s">
        <v>363</v>
      </c>
    </row>
    <row r="132" spans="1:3" x14ac:dyDescent="0.35">
      <c r="A132" s="1" t="s">
        <v>335</v>
      </c>
      <c r="B132" s="1" t="s">
        <v>162</v>
      </c>
      <c r="C132" s="1" t="s">
        <v>336</v>
      </c>
    </row>
    <row r="133" spans="1:3" x14ac:dyDescent="0.35">
      <c r="A133" s="1" t="s">
        <v>4</v>
      </c>
      <c r="B133" s="1" t="s">
        <v>817</v>
      </c>
      <c r="C133" s="1" t="s">
        <v>832</v>
      </c>
    </row>
    <row r="134" spans="1:3" x14ac:dyDescent="0.35">
      <c r="A134" s="1" t="s">
        <v>828</v>
      </c>
      <c r="B134" s="1" t="s">
        <v>817</v>
      </c>
      <c r="C134" s="1" t="s">
        <v>829</v>
      </c>
    </row>
    <row r="135" spans="1:3" x14ac:dyDescent="0.35">
      <c r="A135" s="1" t="s">
        <v>823</v>
      </c>
      <c r="B135" s="1" t="s">
        <v>817</v>
      </c>
      <c r="C135" s="1" t="s">
        <v>824</v>
      </c>
    </row>
    <row r="136" spans="1:3" x14ac:dyDescent="0.35">
      <c r="A136" s="1" t="s">
        <v>171</v>
      </c>
      <c r="B136" s="1" t="s">
        <v>817</v>
      </c>
      <c r="C136" s="1" t="s">
        <v>847</v>
      </c>
    </row>
    <row r="137" spans="1:3" x14ac:dyDescent="0.35">
      <c r="A137" s="1" t="s">
        <v>12</v>
      </c>
      <c r="B137" s="1" t="s">
        <v>744</v>
      </c>
      <c r="C137" s="1" t="s">
        <v>752</v>
      </c>
    </row>
    <row r="138" spans="1:3" x14ac:dyDescent="0.35">
      <c r="A138" s="1" t="s">
        <v>740</v>
      </c>
      <c r="B138" s="1" t="s">
        <v>738</v>
      </c>
      <c r="C138" s="1" t="s">
        <v>741</v>
      </c>
    </row>
    <row r="139" spans="1:3" x14ac:dyDescent="0.35">
      <c r="A139" s="1" t="s">
        <v>44</v>
      </c>
      <c r="B139" s="1" t="s">
        <v>661</v>
      </c>
      <c r="C139" s="1" t="s">
        <v>686</v>
      </c>
    </row>
    <row r="140" spans="1:3" x14ac:dyDescent="0.35">
      <c r="A140" s="1" t="s">
        <v>152</v>
      </c>
      <c r="B140" s="1" t="s">
        <v>610</v>
      </c>
      <c r="C140" s="1" t="s">
        <v>618</v>
      </c>
    </row>
    <row r="141" spans="1:3" x14ac:dyDescent="0.35">
      <c r="A141" s="1" t="s">
        <v>5</v>
      </c>
      <c r="B141" s="1" t="s">
        <v>817</v>
      </c>
      <c r="C141" s="1" t="s">
        <v>845</v>
      </c>
    </row>
    <row r="142" spans="1:3" x14ac:dyDescent="0.35">
      <c r="A142" s="1" t="s">
        <v>1</v>
      </c>
      <c r="B142" s="1" t="s">
        <v>762</v>
      </c>
      <c r="C142" s="1" t="s">
        <v>800</v>
      </c>
    </row>
    <row r="143" spans="1:3" x14ac:dyDescent="0.35">
      <c r="A143" s="1" t="s">
        <v>87</v>
      </c>
      <c r="B143" s="1" t="s">
        <v>762</v>
      </c>
      <c r="C143" s="1" t="s">
        <v>799</v>
      </c>
    </row>
    <row r="144" spans="1:3" x14ac:dyDescent="0.35">
      <c r="A144" s="1" t="s">
        <v>64</v>
      </c>
      <c r="B144" s="1" t="s">
        <v>18</v>
      </c>
      <c r="C144" s="1" t="s">
        <v>658</v>
      </c>
    </row>
    <row r="145" spans="1:3" x14ac:dyDescent="0.35">
      <c r="A145" s="1" t="s">
        <v>65</v>
      </c>
      <c r="B145" s="1" t="s">
        <v>18</v>
      </c>
      <c r="C145" s="1" t="s">
        <v>657</v>
      </c>
    </row>
    <row r="146" spans="1:3" x14ac:dyDescent="0.35">
      <c r="A146" s="1" t="s">
        <v>25</v>
      </c>
      <c r="B146" s="1" t="s">
        <v>762</v>
      </c>
      <c r="C146" s="1" t="s">
        <v>798</v>
      </c>
    </row>
    <row r="147" spans="1:3" x14ac:dyDescent="0.35">
      <c r="A147" s="1" t="s">
        <v>218</v>
      </c>
      <c r="B147" s="1" t="s">
        <v>661</v>
      </c>
      <c r="C147" s="1" t="s">
        <v>683</v>
      </c>
    </row>
    <row r="148" spans="1:3" x14ac:dyDescent="0.35">
      <c r="A148" s="1" t="s">
        <v>308</v>
      </c>
      <c r="B148" s="1" t="s">
        <v>100</v>
      </c>
      <c r="C148" s="1" t="s">
        <v>309</v>
      </c>
    </row>
    <row r="149" spans="1:3" x14ac:dyDescent="0.35">
      <c r="A149" s="1" t="s">
        <v>52</v>
      </c>
      <c r="B149" s="1" t="s">
        <v>50</v>
      </c>
      <c r="C149" s="1" t="s">
        <v>374</v>
      </c>
    </row>
    <row r="150" spans="1:3" x14ac:dyDescent="0.35">
      <c r="A150" s="1" t="s">
        <v>124</v>
      </c>
      <c r="B150" s="1" t="s">
        <v>138</v>
      </c>
      <c r="C150" s="1" t="s">
        <v>539</v>
      </c>
    </row>
    <row r="151" spans="1:3" x14ac:dyDescent="0.35">
      <c r="A151" s="1" t="s">
        <v>111</v>
      </c>
      <c r="B151" s="1" t="s">
        <v>762</v>
      </c>
      <c r="C151" s="1" t="s">
        <v>795</v>
      </c>
    </row>
    <row r="152" spans="1:3" x14ac:dyDescent="0.35">
      <c r="A152" s="1" t="s">
        <v>126</v>
      </c>
      <c r="B152" s="1" t="s">
        <v>18</v>
      </c>
      <c r="C152" s="1" t="s">
        <v>654</v>
      </c>
    </row>
    <row r="153" spans="1:3" x14ac:dyDescent="0.35">
      <c r="A153" s="1" t="s">
        <v>167</v>
      </c>
      <c r="B153" s="1" t="s">
        <v>661</v>
      </c>
      <c r="C153" s="1" t="s">
        <v>679</v>
      </c>
    </row>
    <row r="154" spans="1:3" x14ac:dyDescent="0.35">
      <c r="A154" s="1" t="s">
        <v>151</v>
      </c>
      <c r="B154" s="1" t="s">
        <v>610</v>
      </c>
      <c r="C154" s="1" t="s">
        <v>613</v>
      </c>
    </row>
    <row r="155" spans="1:3" x14ac:dyDescent="0.35">
      <c r="A155" s="1" t="s">
        <v>519</v>
      </c>
      <c r="B155" s="1" t="s">
        <v>138</v>
      </c>
      <c r="C155" s="1" t="s">
        <v>520</v>
      </c>
    </row>
    <row r="156" spans="1:3" x14ac:dyDescent="0.35">
      <c r="A156" s="1" t="s">
        <v>792</v>
      </c>
      <c r="B156" s="1" t="s">
        <v>762</v>
      </c>
      <c r="C156" s="1" t="s">
        <v>793</v>
      </c>
    </row>
    <row r="157" spans="1:3" x14ac:dyDescent="0.35">
      <c r="A157" s="1" t="s">
        <v>511</v>
      </c>
      <c r="B157" s="1" t="s">
        <v>138</v>
      </c>
      <c r="C157" s="1" t="s">
        <v>512</v>
      </c>
    </row>
    <row r="158" spans="1:3" x14ac:dyDescent="0.35">
      <c r="A158" s="1" t="s">
        <v>28</v>
      </c>
      <c r="B158" s="1" t="s">
        <v>817</v>
      </c>
      <c r="C158" s="1" t="s">
        <v>843</v>
      </c>
    </row>
    <row r="159" spans="1:3" x14ac:dyDescent="0.35">
      <c r="A159" s="1" t="s">
        <v>63</v>
      </c>
      <c r="B159" s="1" t="s">
        <v>50</v>
      </c>
      <c r="C159" s="1" t="s">
        <v>371</v>
      </c>
    </row>
    <row r="160" spans="1:3" x14ac:dyDescent="0.35">
      <c r="A160" s="1" t="s">
        <v>594</v>
      </c>
      <c r="B160" s="1" t="s">
        <v>584</v>
      </c>
      <c r="C160" s="1" t="s">
        <v>595</v>
      </c>
    </row>
    <row r="161" spans="1:3" x14ac:dyDescent="0.35">
      <c r="A161" s="1" t="s">
        <v>49</v>
      </c>
      <c r="B161" s="1" t="s">
        <v>817</v>
      </c>
      <c r="C161" s="1" t="s">
        <v>842</v>
      </c>
    </row>
    <row r="162" spans="1:3" x14ac:dyDescent="0.35">
      <c r="A162" s="1" t="s">
        <v>606</v>
      </c>
      <c r="B162" s="1" t="s">
        <v>584</v>
      </c>
      <c r="C162" s="1" t="s">
        <v>607</v>
      </c>
    </row>
    <row r="163" spans="1:3" x14ac:dyDescent="0.35">
      <c r="A163" s="1" t="s">
        <v>148</v>
      </c>
      <c r="B163" s="1" t="s">
        <v>18</v>
      </c>
      <c r="C163" s="1" t="s">
        <v>651</v>
      </c>
    </row>
    <row r="164" spans="1:3" x14ac:dyDescent="0.35">
      <c r="A164" s="1" t="s">
        <v>677</v>
      </c>
      <c r="B164" s="1" t="s">
        <v>661</v>
      </c>
      <c r="C164" s="1" t="s">
        <v>678</v>
      </c>
    </row>
    <row r="165" spans="1:3" x14ac:dyDescent="0.35">
      <c r="A165" s="1" t="s">
        <v>176</v>
      </c>
      <c r="B165" s="1" t="s">
        <v>18</v>
      </c>
      <c r="C165" s="1" t="s">
        <v>650</v>
      </c>
    </row>
    <row r="166" spans="1:3" x14ac:dyDescent="0.35">
      <c r="A166" s="1" t="s">
        <v>467</v>
      </c>
      <c r="B166" s="1" t="s">
        <v>138</v>
      </c>
      <c r="C166" s="1" t="s">
        <v>468</v>
      </c>
    </row>
    <row r="167" spans="1:3" x14ac:dyDescent="0.35">
      <c r="A167" s="1" t="s">
        <v>320</v>
      </c>
      <c r="B167" s="1" t="s">
        <v>162</v>
      </c>
      <c r="C167" s="1" t="s">
        <v>321</v>
      </c>
    </row>
    <row r="168" spans="1:3" x14ac:dyDescent="0.35">
      <c r="A168" s="1" t="s">
        <v>112</v>
      </c>
      <c r="B168" s="1" t="s">
        <v>50</v>
      </c>
      <c r="C168" s="1" t="s">
        <v>341</v>
      </c>
    </row>
    <row r="169" spans="1:3" x14ac:dyDescent="0.35">
      <c r="A169" s="1" t="s">
        <v>17</v>
      </c>
      <c r="B169" s="1" t="s">
        <v>817</v>
      </c>
      <c r="C169" s="1" t="s">
        <v>840</v>
      </c>
    </row>
    <row r="170" spans="1:3" x14ac:dyDescent="0.35">
      <c r="A170" s="1" t="s">
        <v>9</v>
      </c>
      <c r="B170" s="1" t="s">
        <v>817</v>
      </c>
      <c r="C170" s="1" t="s">
        <v>839</v>
      </c>
    </row>
    <row r="171" spans="1:3" x14ac:dyDescent="0.35">
      <c r="A171" s="1" t="s">
        <v>282</v>
      </c>
      <c r="B171" s="1" t="s">
        <v>817</v>
      </c>
      <c r="C171" s="1" t="s">
        <v>838</v>
      </c>
    </row>
    <row r="172" spans="1:3" x14ac:dyDescent="0.35">
      <c r="A172" s="1" t="s">
        <v>602</v>
      </c>
      <c r="B172" s="1" t="s">
        <v>584</v>
      </c>
      <c r="C172" s="1" t="s">
        <v>603</v>
      </c>
    </row>
    <row r="173" spans="1:3" x14ac:dyDescent="0.35">
      <c r="A173" s="1" t="s">
        <v>509</v>
      </c>
      <c r="B173" s="1" t="s">
        <v>138</v>
      </c>
      <c r="C173" s="1" t="s">
        <v>510</v>
      </c>
    </row>
    <row r="174" spans="1:3" x14ac:dyDescent="0.35">
      <c r="A174" s="1" t="s">
        <v>310</v>
      </c>
      <c r="B174" s="1" t="s">
        <v>100</v>
      </c>
      <c r="C174" s="1" t="s">
        <v>311</v>
      </c>
    </row>
    <row r="175" spans="1:3" x14ac:dyDescent="0.35">
      <c r="A175" s="1" t="s">
        <v>196</v>
      </c>
      <c r="B175" s="1" t="s">
        <v>762</v>
      </c>
      <c r="C175" s="1" t="s">
        <v>791</v>
      </c>
    </row>
    <row r="176" spans="1:3" x14ac:dyDescent="0.35">
      <c r="A176" s="1" t="s">
        <v>459</v>
      </c>
      <c r="B176" s="1" t="s">
        <v>138</v>
      </c>
      <c r="C176" s="1" t="s">
        <v>460</v>
      </c>
    </row>
    <row r="177" spans="1:3" x14ac:dyDescent="0.35">
      <c r="A177" s="1" t="s">
        <v>66</v>
      </c>
      <c r="B177" s="1" t="s">
        <v>18</v>
      </c>
      <c r="C177" s="1" t="s">
        <v>649</v>
      </c>
    </row>
    <row r="178" spans="1:3" x14ac:dyDescent="0.35">
      <c r="A178" s="1" t="s">
        <v>387</v>
      </c>
      <c r="B178" s="1" t="s">
        <v>138</v>
      </c>
      <c r="C178" s="1" t="s">
        <v>388</v>
      </c>
    </row>
    <row r="179" spans="1:3" x14ac:dyDescent="0.35">
      <c r="A179" s="1" t="s">
        <v>72</v>
      </c>
      <c r="B179" s="1" t="s">
        <v>50</v>
      </c>
      <c r="C179" s="1" t="s">
        <v>358</v>
      </c>
    </row>
    <row r="180" spans="1:3" x14ac:dyDescent="0.35">
      <c r="A180" s="1" t="s">
        <v>98</v>
      </c>
      <c r="B180" s="1" t="s">
        <v>50</v>
      </c>
      <c r="C180" s="1" t="s">
        <v>380</v>
      </c>
    </row>
    <row r="181" spans="1:3" x14ac:dyDescent="0.35">
      <c r="A181" s="1" t="s">
        <v>73</v>
      </c>
      <c r="B181" s="1" t="s">
        <v>50</v>
      </c>
      <c r="C181" s="1" t="s">
        <v>339</v>
      </c>
    </row>
    <row r="182" spans="1:3" x14ac:dyDescent="0.35">
      <c r="A182" s="1" t="s">
        <v>10</v>
      </c>
      <c r="B182" s="1" t="s">
        <v>762</v>
      </c>
      <c r="C182" s="1" t="s">
        <v>790</v>
      </c>
    </row>
    <row r="183" spans="1:3" x14ac:dyDescent="0.35">
      <c r="A183" s="1" t="s">
        <v>513</v>
      </c>
      <c r="B183" s="1" t="s">
        <v>138</v>
      </c>
      <c r="C183" s="1" t="s">
        <v>514</v>
      </c>
    </row>
    <row r="184" spans="1:3" x14ac:dyDescent="0.35">
      <c r="A184" s="1" t="s">
        <v>229</v>
      </c>
      <c r="B184" s="1" t="s">
        <v>661</v>
      </c>
      <c r="C184" s="1" t="s">
        <v>674</v>
      </c>
    </row>
    <row r="185" spans="1:3" x14ac:dyDescent="0.35">
      <c r="A185" s="1" t="s">
        <v>531</v>
      </c>
      <c r="B185" s="1" t="s">
        <v>138</v>
      </c>
      <c r="C185" s="1" t="s">
        <v>532</v>
      </c>
    </row>
    <row r="186" spans="1:3" x14ac:dyDescent="0.35">
      <c r="A186" s="1" t="s">
        <v>60</v>
      </c>
      <c r="B186" s="1" t="s">
        <v>50</v>
      </c>
      <c r="C186" s="1" t="s">
        <v>369</v>
      </c>
    </row>
    <row r="187" spans="1:3" x14ac:dyDescent="0.35">
      <c r="A187" s="1" t="s">
        <v>172</v>
      </c>
      <c r="B187" s="1" t="s">
        <v>817</v>
      </c>
      <c r="C187" s="1" t="s">
        <v>837</v>
      </c>
    </row>
    <row r="188" spans="1:3" x14ac:dyDescent="0.35">
      <c r="A188" s="1" t="s">
        <v>42</v>
      </c>
      <c r="B188" s="1" t="s">
        <v>661</v>
      </c>
      <c r="C188" s="1" t="s">
        <v>673</v>
      </c>
    </row>
    <row r="189" spans="1:3" x14ac:dyDescent="0.35">
      <c r="A189" s="1" t="s">
        <v>787</v>
      </c>
      <c r="B189" s="1" t="s">
        <v>762</v>
      </c>
      <c r="C189" s="1" t="s">
        <v>788</v>
      </c>
    </row>
    <row r="190" spans="1:3" x14ac:dyDescent="0.35">
      <c r="A190" s="1" t="s">
        <v>592</v>
      </c>
      <c r="B190" s="1" t="s">
        <v>584</v>
      </c>
      <c r="C190" s="1" t="s">
        <v>593</v>
      </c>
    </row>
    <row r="191" spans="1:3" x14ac:dyDescent="0.35">
      <c r="A191" s="1" t="s">
        <v>785</v>
      </c>
      <c r="B191" s="1" t="s">
        <v>762</v>
      </c>
      <c r="C191" s="1" t="s">
        <v>786</v>
      </c>
    </row>
    <row r="192" spans="1:3" x14ac:dyDescent="0.35">
      <c r="A192" s="1" t="s">
        <v>783</v>
      </c>
      <c r="B192" s="1" t="s">
        <v>762</v>
      </c>
      <c r="C192" s="1" t="s">
        <v>784</v>
      </c>
    </row>
    <row r="193" spans="1:3" x14ac:dyDescent="0.35">
      <c r="A193" s="1" t="s">
        <v>422</v>
      </c>
      <c r="B193" s="1" t="s">
        <v>138</v>
      </c>
      <c r="C193" s="1" t="s">
        <v>423</v>
      </c>
    </row>
    <row r="194" spans="1:3" x14ac:dyDescent="0.35">
      <c r="A194" s="1" t="s">
        <v>35</v>
      </c>
      <c r="B194" s="1" t="s">
        <v>817</v>
      </c>
      <c r="C194" s="1" t="s">
        <v>836</v>
      </c>
    </row>
    <row r="195" spans="1:3" x14ac:dyDescent="0.35">
      <c r="A195" s="1" t="s">
        <v>588</v>
      </c>
      <c r="B195" s="1" t="s">
        <v>584</v>
      </c>
      <c r="C195" s="1" t="s">
        <v>589</v>
      </c>
    </row>
    <row r="196" spans="1:3" x14ac:dyDescent="0.35">
      <c r="A196" s="1" t="s">
        <v>671</v>
      </c>
      <c r="B196" s="1" t="s">
        <v>661</v>
      </c>
      <c r="C196" s="1" t="s">
        <v>672</v>
      </c>
    </row>
    <row r="197" spans="1:3" x14ac:dyDescent="0.35">
      <c r="A197" s="1" t="s">
        <v>324</v>
      </c>
      <c r="B197" s="1" t="s">
        <v>162</v>
      </c>
      <c r="C197" s="1" t="s">
        <v>325</v>
      </c>
    </row>
    <row r="198" spans="1:3" x14ac:dyDescent="0.35">
      <c r="A198" s="1" t="s">
        <v>261</v>
      </c>
      <c r="B198" s="1" t="s">
        <v>817</v>
      </c>
      <c r="C198" s="1" t="s">
        <v>835</v>
      </c>
    </row>
    <row r="199" spans="1:3" x14ac:dyDescent="0.35">
      <c r="A199" s="1" t="s">
        <v>390</v>
      </c>
      <c r="B199" s="1" t="s">
        <v>138</v>
      </c>
      <c r="C199" s="1" t="s">
        <v>391</v>
      </c>
    </row>
    <row r="200" spans="1:3" x14ac:dyDescent="0.35">
      <c r="A200" s="1" t="s">
        <v>428</v>
      </c>
      <c r="B200" s="1" t="s">
        <v>138</v>
      </c>
      <c r="C200" s="1" t="s">
        <v>429</v>
      </c>
    </row>
    <row r="201" spans="1:3" x14ac:dyDescent="0.35">
      <c r="A201" s="1" t="s">
        <v>453</v>
      </c>
      <c r="B201" s="1" t="s">
        <v>138</v>
      </c>
      <c r="C201" s="1" t="s">
        <v>454</v>
      </c>
    </row>
    <row r="202" spans="1:3" x14ac:dyDescent="0.35">
      <c r="A202" s="1" t="s">
        <v>465</v>
      </c>
      <c r="B202" s="1" t="s">
        <v>138</v>
      </c>
      <c r="C202" s="1" t="s">
        <v>466</v>
      </c>
    </row>
    <row r="203" spans="1:3" x14ac:dyDescent="0.35">
      <c r="A203" s="1" t="s">
        <v>449</v>
      </c>
      <c r="B203" s="1" t="s">
        <v>138</v>
      </c>
      <c r="C203" s="1" t="s">
        <v>450</v>
      </c>
    </row>
    <row r="204" spans="1:3" x14ac:dyDescent="0.35">
      <c r="A204" s="1" t="s">
        <v>353</v>
      </c>
      <c r="B204" s="1" t="s">
        <v>50</v>
      </c>
      <c r="C204" s="1" t="s">
        <v>354</v>
      </c>
    </row>
    <row r="205" spans="1:3" x14ac:dyDescent="0.35">
      <c r="A205" s="1" t="s">
        <v>18</v>
      </c>
      <c r="B205" s="1" t="s">
        <v>18</v>
      </c>
      <c r="C205" s="1" t="s">
        <v>647</v>
      </c>
    </row>
    <row r="206" spans="1:3" x14ac:dyDescent="0.35">
      <c r="A206" s="1" t="s">
        <v>502</v>
      </c>
      <c r="B206" s="1" t="s">
        <v>138</v>
      </c>
      <c r="C206" s="1" t="s">
        <v>503</v>
      </c>
    </row>
    <row r="207" spans="1:3" x14ac:dyDescent="0.35">
      <c r="A207" s="1" t="s">
        <v>616</v>
      </c>
      <c r="B207" s="1" t="s">
        <v>610</v>
      </c>
      <c r="C207" s="1" t="s">
        <v>617</v>
      </c>
    </row>
    <row r="208" spans="1:3" x14ac:dyDescent="0.35">
      <c r="A208" s="1" t="s">
        <v>117</v>
      </c>
      <c r="B208" s="1" t="s">
        <v>744</v>
      </c>
      <c r="C208" s="1" t="s">
        <v>751</v>
      </c>
    </row>
    <row r="209" spans="1:3" x14ac:dyDescent="0.35">
      <c r="A209" s="1" t="s">
        <v>619</v>
      </c>
      <c r="B209" s="1" t="s">
        <v>610</v>
      </c>
      <c r="C209" s="1" t="s">
        <v>620</v>
      </c>
    </row>
    <row r="210" spans="1:3" x14ac:dyDescent="0.35">
      <c r="A210" s="1" t="s">
        <v>600</v>
      </c>
      <c r="B210" s="1" t="s">
        <v>584</v>
      </c>
      <c r="C210" s="1" t="s">
        <v>601</v>
      </c>
    </row>
    <row r="211" spans="1:3" x14ac:dyDescent="0.35">
      <c r="A211" s="1" t="s">
        <v>127</v>
      </c>
      <c r="B211" s="1" t="s">
        <v>18</v>
      </c>
      <c r="C211" s="1" t="s">
        <v>646</v>
      </c>
    </row>
    <row r="212" spans="1:3" x14ac:dyDescent="0.35">
      <c r="A212" s="1" t="s">
        <v>134</v>
      </c>
      <c r="B212" s="1" t="s">
        <v>762</v>
      </c>
      <c r="C212" s="1" t="s">
        <v>782</v>
      </c>
    </row>
    <row r="213" spans="1:3" x14ac:dyDescent="0.35">
      <c r="A213" s="1" t="s">
        <v>382</v>
      </c>
      <c r="B213" s="1" t="s">
        <v>50</v>
      </c>
      <c r="C213" s="1" t="s">
        <v>383</v>
      </c>
    </row>
    <row r="214" spans="1:3" x14ac:dyDescent="0.35">
      <c r="A214" s="1" t="s">
        <v>97</v>
      </c>
      <c r="B214" s="1" t="s">
        <v>50</v>
      </c>
      <c r="C214" s="1" t="s">
        <v>357</v>
      </c>
    </row>
    <row r="215" spans="1:3" x14ac:dyDescent="0.35">
      <c r="A215" s="1" t="s">
        <v>15</v>
      </c>
      <c r="B215" s="1" t="s">
        <v>762</v>
      </c>
      <c r="C215" s="1" t="s">
        <v>779</v>
      </c>
    </row>
    <row r="216" spans="1:3" x14ac:dyDescent="0.35">
      <c r="A216" s="1" t="s">
        <v>59</v>
      </c>
      <c r="B216" s="1" t="s">
        <v>50</v>
      </c>
      <c r="C216" s="1" t="s">
        <v>348</v>
      </c>
    </row>
    <row r="217" spans="1:3" x14ac:dyDescent="0.35">
      <c r="A217" s="1" t="s">
        <v>143</v>
      </c>
      <c r="B217" s="1" t="s">
        <v>138</v>
      </c>
      <c r="C217" s="1" t="s">
        <v>392</v>
      </c>
    </row>
    <row r="218" spans="1:3" x14ac:dyDescent="0.35">
      <c r="A218" s="1" t="s">
        <v>553</v>
      </c>
      <c r="B218" s="1" t="s">
        <v>138</v>
      </c>
      <c r="C218" s="1" t="s">
        <v>554</v>
      </c>
    </row>
    <row r="219" spans="1:3" x14ac:dyDescent="0.35">
      <c r="A219" s="1" t="s">
        <v>153</v>
      </c>
      <c r="B219" s="1" t="s">
        <v>610</v>
      </c>
      <c r="C219" s="1" t="s">
        <v>611</v>
      </c>
    </row>
    <row r="220" spans="1:3" x14ac:dyDescent="0.35">
      <c r="A220" s="1" t="s">
        <v>156</v>
      </c>
      <c r="B220" s="1" t="s">
        <v>817</v>
      </c>
      <c r="C220" s="1" t="s">
        <v>831</v>
      </c>
    </row>
    <row r="221" spans="1:3" x14ac:dyDescent="0.35">
      <c r="A221" s="1" t="s">
        <v>31</v>
      </c>
      <c r="B221" s="1" t="s">
        <v>18</v>
      </c>
      <c r="C221" s="1" t="s">
        <v>644</v>
      </c>
    </row>
    <row r="222" spans="1:3" x14ac:dyDescent="0.35">
      <c r="A222" s="1" t="s">
        <v>540</v>
      </c>
      <c r="B222" s="1" t="s">
        <v>138</v>
      </c>
      <c r="C222" s="1" t="s">
        <v>541</v>
      </c>
    </row>
    <row r="223" spans="1:3" x14ac:dyDescent="0.35">
      <c r="A223" s="1" t="s">
        <v>500</v>
      </c>
      <c r="B223" s="1" t="s">
        <v>138</v>
      </c>
      <c r="C223" s="1" t="s">
        <v>501</v>
      </c>
    </row>
    <row r="224" spans="1:3" x14ac:dyDescent="0.35">
      <c r="A224" s="1" t="s">
        <v>30</v>
      </c>
      <c r="B224" s="1" t="s">
        <v>817</v>
      </c>
      <c r="C224" s="1" t="s">
        <v>830</v>
      </c>
    </row>
    <row r="225" spans="1:3" x14ac:dyDescent="0.35">
      <c r="A225" s="1" t="s">
        <v>118</v>
      </c>
      <c r="B225" s="1" t="s">
        <v>50</v>
      </c>
      <c r="C225" s="1" t="s">
        <v>350</v>
      </c>
    </row>
    <row r="226" spans="1:3" x14ac:dyDescent="0.35">
      <c r="A226" s="1" t="s">
        <v>569</v>
      </c>
      <c r="B226" s="1" t="s">
        <v>138</v>
      </c>
      <c r="C226" s="1" t="s">
        <v>570</v>
      </c>
    </row>
    <row r="227" spans="1:3" x14ac:dyDescent="0.35">
      <c r="A227" s="1" t="s">
        <v>129</v>
      </c>
      <c r="B227" s="1" t="s">
        <v>18</v>
      </c>
      <c r="C227" s="1" t="s">
        <v>643</v>
      </c>
    </row>
    <row r="228" spans="1:3" x14ac:dyDescent="0.35">
      <c r="A228" s="1" t="s">
        <v>498</v>
      </c>
      <c r="B228" s="1" t="s">
        <v>138</v>
      </c>
      <c r="C228" s="1" t="s">
        <v>499</v>
      </c>
    </row>
    <row r="229" spans="1:3" x14ac:dyDescent="0.35">
      <c r="A229" s="1" t="s">
        <v>385</v>
      </c>
      <c r="B229" s="1" t="s">
        <v>138</v>
      </c>
      <c r="C229" s="1" t="s">
        <v>386</v>
      </c>
    </row>
    <row r="230" spans="1:3" x14ac:dyDescent="0.35">
      <c r="A230" s="1" t="s">
        <v>61</v>
      </c>
      <c r="B230" s="1" t="s">
        <v>50</v>
      </c>
      <c r="C230" s="1" t="s">
        <v>352</v>
      </c>
    </row>
    <row r="231" spans="1:3" x14ac:dyDescent="0.35">
      <c r="A231" s="1" t="s">
        <v>47</v>
      </c>
      <c r="B231" s="1" t="s">
        <v>661</v>
      </c>
      <c r="C231" s="1" t="s">
        <v>669</v>
      </c>
    </row>
    <row r="232" spans="1:3" x14ac:dyDescent="0.35">
      <c r="A232" s="1" t="s">
        <v>203</v>
      </c>
      <c r="B232" s="1" t="s">
        <v>138</v>
      </c>
      <c r="C232" s="1" t="s">
        <v>497</v>
      </c>
    </row>
    <row r="233" spans="1:3" x14ac:dyDescent="0.35">
      <c r="A233" s="1" t="s">
        <v>495</v>
      </c>
      <c r="B233" s="1" t="s">
        <v>138</v>
      </c>
      <c r="C233" s="1" t="s">
        <v>496</v>
      </c>
    </row>
    <row r="234" spans="1:3" x14ac:dyDescent="0.35">
      <c r="A234" s="1" t="s">
        <v>130</v>
      </c>
      <c r="B234" s="1" t="s">
        <v>18</v>
      </c>
      <c r="C234" s="1" t="s">
        <v>641</v>
      </c>
    </row>
    <row r="235" spans="1:3" x14ac:dyDescent="0.35">
      <c r="A235" s="1" t="s">
        <v>257</v>
      </c>
      <c r="B235" s="1" t="s">
        <v>18</v>
      </c>
      <c r="C235" s="1" t="s">
        <v>639</v>
      </c>
    </row>
    <row r="236" spans="1:3" x14ac:dyDescent="0.35">
      <c r="A236" s="1" t="s">
        <v>58</v>
      </c>
      <c r="B236" s="1" t="s">
        <v>817</v>
      </c>
      <c r="C236" s="1" t="s">
        <v>827</v>
      </c>
    </row>
    <row r="237" spans="1:3" x14ac:dyDescent="0.35">
      <c r="A237" s="1" t="s">
        <v>55</v>
      </c>
      <c r="B237" s="1" t="s">
        <v>50</v>
      </c>
      <c r="C237" s="1" t="s">
        <v>366</v>
      </c>
    </row>
    <row r="238" spans="1:3" x14ac:dyDescent="0.35">
      <c r="A238" s="1" t="s">
        <v>529</v>
      </c>
      <c r="B238" s="1" t="s">
        <v>138</v>
      </c>
      <c r="C238" s="1" t="s">
        <v>530</v>
      </c>
    </row>
    <row r="239" spans="1:3" x14ac:dyDescent="0.35">
      <c r="A239" s="1" t="s">
        <v>565</v>
      </c>
      <c r="B239" s="1" t="s">
        <v>138</v>
      </c>
      <c r="C239" s="1" t="s">
        <v>566</v>
      </c>
    </row>
    <row r="240" spans="1:3" x14ac:dyDescent="0.35">
      <c r="A240" s="1" t="s">
        <v>241</v>
      </c>
      <c r="B240" s="1" t="s">
        <v>661</v>
      </c>
      <c r="C240" s="1" t="s">
        <v>665</v>
      </c>
    </row>
    <row r="241" spans="1:3" x14ac:dyDescent="0.35">
      <c r="A241" s="1" t="s">
        <v>491</v>
      </c>
      <c r="B241" s="1" t="s">
        <v>138</v>
      </c>
      <c r="C241" s="1" t="s">
        <v>492</v>
      </c>
    </row>
    <row r="242" spans="1:3" x14ac:dyDescent="0.35">
      <c r="A242" s="1" t="s">
        <v>173</v>
      </c>
      <c r="B242" s="1" t="s">
        <v>817</v>
      </c>
      <c r="C242" s="1" t="s">
        <v>826</v>
      </c>
    </row>
    <row r="243" spans="1:3" x14ac:dyDescent="0.35">
      <c r="A243" s="1" t="s">
        <v>525</v>
      </c>
      <c r="B243" s="1" t="s">
        <v>138</v>
      </c>
      <c r="C243" s="1" t="s">
        <v>526</v>
      </c>
    </row>
    <row r="244" spans="1:3" x14ac:dyDescent="0.35">
      <c r="A244" s="1" t="s">
        <v>489</v>
      </c>
      <c r="B244" s="1" t="s">
        <v>138</v>
      </c>
      <c r="C244" s="1" t="s">
        <v>490</v>
      </c>
    </row>
    <row r="245" spans="1:3" x14ac:dyDescent="0.35">
      <c r="A245" s="1" t="s">
        <v>271</v>
      </c>
      <c r="B245" s="1" t="s">
        <v>162</v>
      </c>
      <c r="C245" s="1" t="s">
        <v>326</v>
      </c>
    </row>
    <row r="246" spans="1:3" x14ac:dyDescent="0.35">
      <c r="A246" s="1" t="s">
        <v>737</v>
      </c>
      <c r="B246" s="1" t="s">
        <v>738</v>
      </c>
      <c r="C246" s="1" t="s">
        <v>739</v>
      </c>
    </row>
    <row r="247" spans="1:3" x14ac:dyDescent="0.35">
      <c r="A247" s="1" t="s">
        <v>318</v>
      </c>
      <c r="B247" s="1" t="s">
        <v>162</v>
      </c>
      <c r="C247" s="1" t="s">
        <v>319</v>
      </c>
    </row>
    <row r="248" spans="1:3" x14ac:dyDescent="0.35">
      <c r="A248" s="1" t="s">
        <v>355</v>
      </c>
      <c r="B248" s="1" t="s">
        <v>50</v>
      </c>
      <c r="C248" s="1" t="s">
        <v>356</v>
      </c>
    </row>
    <row r="249" spans="1:3" x14ac:dyDescent="0.35">
      <c r="A249" s="1" t="s">
        <v>230</v>
      </c>
      <c r="B249" s="1" t="s">
        <v>661</v>
      </c>
      <c r="C249" s="1" t="s">
        <v>664</v>
      </c>
    </row>
    <row r="250" spans="1:3" x14ac:dyDescent="0.35">
      <c r="A250" s="1" t="s">
        <v>660</v>
      </c>
      <c r="B250" s="1" t="s">
        <v>661</v>
      </c>
      <c r="C250" s="1" t="s">
        <v>662</v>
      </c>
    </row>
    <row r="251" spans="1:3" x14ac:dyDescent="0.35">
      <c r="A251" s="1" t="s">
        <v>735</v>
      </c>
      <c r="B251" s="1" t="s">
        <v>661</v>
      </c>
      <c r="C251" s="1" t="s">
        <v>736</v>
      </c>
    </row>
    <row r="252" spans="1:3" x14ac:dyDescent="0.35">
      <c r="A252" s="1" t="s">
        <v>231</v>
      </c>
      <c r="B252" s="1" t="s">
        <v>661</v>
      </c>
      <c r="C252" s="1" t="s">
        <v>734</v>
      </c>
    </row>
    <row r="253" spans="1:3" x14ac:dyDescent="0.35">
      <c r="A253" s="1" t="s">
        <v>194</v>
      </c>
      <c r="B253" s="1" t="s">
        <v>762</v>
      </c>
      <c r="C253" s="1" t="s">
        <v>777</v>
      </c>
    </row>
    <row r="254" spans="1:3" x14ac:dyDescent="0.35">
      <c r="A254" s="1" t="s">
        <v>637</v>
      </c>
      <c r="B254" s="1" t="s">
        <v>18</v>
      </c>
      <c r="C254" s="1" t="s">
        <v>638</v>
      </c>
    </row>
    <row r="255" spans="1:3" x14ac:dyDescent="0.35">
      <c r="A255" s="1" t="s">
        <v>634</v>
      </c>
      <c r="B255" s="1" t="s">
        <v>18</v>
      </c>
      <c r="C255" s="1" t="s">
        <v>635</v>
      </c>
    </row>
    <row r="256" spans="1:3" x14ac:dyDescent="0.35">
      <c r="A256" s="1" t="s">
        <v>22</v>
      </c>
      <c r="B256" s="1" t="s">
        <v>18</v>
      </c>
      <c r="C256" s="1" t="s">
        <v>633</v>
      </c>
    </row>
    <row r="257" spans="1:3" x14ac:dyDescent="0.35">
      <c r="A257" s="1" t="s">
        <v>67</v>
      </c>
      <c r="B257" s="1" t="s">
        <v>18</v>
      </c>
      <c r="C257" s="1" t="s">
        <v>632</v>
      </c>
    </row>
    <row r="258" spans="1:3" x14ac:dyDescent="0.35">
      <c r="A258" s="1" t="s">
        <v>628</v>
      </c>
      <c r="B258" s="1" t="s">
        <v>18</v>
      </c>
      <c r="C258" s="1" t="s">
        <v>629</v>
      </c>
    </row>
    <row r="259" spans="1:3" x14ac:dyDescent="0.35">
      <c r="A259" s="1" t="s">
        <v>105</v>
      </c>
      <c r="B259" s="1" t="s">
        <v>744</v>
      </c>
      <c r="C259" s="1" t="s">
        <v>747</v>
      </c>
    </row>
    <row r="260" spans="1:3" x14ac:dyDescent="0.35">
      <c r="A260" s="1" t="s">
        <v>401</v>
      </c>
      <c r="B260" s="1" t="s">
        <v>138</v>
      </c>
      <c r="C260" s="1" t="s">
        <v>402</v>
      </c>
    </row>
    <row r="261" spans="1:3" x14ac:dyDescent="0.35">
      <c r="A261" s="1" t="s">
        <v>359</v>
      </c>
      <c r="B261" s="1" t="s">
        <v>50</v>
      </c>
      <c r="C261" s="1" t="s">
        <v>360</v>
      </c>
    </row>
    <row r="262" spans="1:3" x14ac:dyDescent="0.35">
      <c r="A262" s="1" t="s">
        <v>487</v>
      </c>
      <c r="B262" s="1" t="s">
        <v>138</v>
      </c>
      <c r="C262" s="1" t="s">
        <v>488</v>
      </c>
    </row>
    <row r="263" spans="1:3" x14ac:dyDescent="0.35">
      <c r="A263" s="1" t="s">
        <v>473</v>
      </c>
      <c r="B263" s="1" t="s">
        <v>138</v>
      </c>
      <c r="C263" s="1" t="s">
        <v>474</v>
      </c>
    </row>
    <row r="264" spans="1:3" x14ac:dyDescent="0.35">
      <c r="A264" s="1" t="s">
        <v>48</v>
      </c>
      <c r="B264" s="1" t="s">
        <v>661</v>
      </c>
      <c r="C264" s="1" t="s">
        <v>733</v>
      </c>
    </row>
    <row r="265" spans="1:3" x14ac:dyDescent="0.35">
      <c r="A265" s="1" t="s">
        <v>244</v>
      </c>
      <c r="B265" s="1" t="s">
        <v>661</v>
      </c>
      <c r="C265" s="1" t="s">
        <v>726</v>
      </c>
    </row>
    <row r="266" spans="1:3" x14ac:dyDescent="0.35">
      <c r="A266" s="1" t="s">
        <v>157</v>
      </c>
      <c r="B266" s="1" t="s">
        <v>817</v>
      </c>
      <c r="C266" s="1" t="s">
        <v>825</v>
      </c>
    </row>
    <row r="267" spans="1:3" x14ac:dyDescent="0.35">
      <c r="A267" s="1" t="s">
        <v>13</v>
      </c>
      <c r="B267" s="1" t="s">
        <v>744</v>
      </c>
      <c r="C267" s="1" t="s">
        <v>746</v>
      </c>
    </row>
    <row r="268" spans="1:3" x14ac:dyDescent="0.35">
      <c r="A268" s="1" t="s">
        <v>14</v>
      </c>
      <c r="B268" s="1" t="s">
        <v>744</v>
      </c>
      <c r="C268" s="1" t="s">
        <v>745</v>
      </c>
    </row>
    <row r="269" spans="1:3" x14ac:dyDescent="0.35">
      <c r="A269" s="1" t="s">
        <v>76</v>
      </c>
      <c r="B269" s="1" t="s">
        <v>50</v>
      </c>
      <c r="C269" s="1" t="s">
        <v>378</v>
      </c>
    </row>
    <row r="270" spans="1:3" x14ac:dyDescent="0.35">
      <c r="A270" s="1" t="s">
        <v>626</v>
      </c>
      <c r="B270" s="1" t="s">
        <v>18</v>
      </c>
      <c r="C270" s="1" t="s">
        <v>627</v>
      </c>
    </row>
    <row r="271" spans="1:3" x14ac:dyDescent="0.35">
      <c r="A271" s="1" t="s">
        <v>132</v>
      </c>
      <c r="B271" s="1" t="s">
        <v>817</v>
      </c>
      <c r="C271" s="1" t="s">
        <v>822</v>
      </c>
    </row>
    <row r="272" spans="1:3" x14ac:dyDescent="0.35">
      <c r="A272" s="1" t="s">
        <v>399</v>
      </c>
      <c r="B272" s="1" t="s">
        <v>138</v>
      </c>
      <c r="C272" s="1" t="s">
        <v>400</v>
      </c>
    </row>
    <row r="273" spans="1:3" x14ac:dyDescent="0.35">
      <c r="A273" s="1" t="s">
        <v>397</v>
      </c>
      <c r="B273" s="1" t="s">
        <v>138</v>
      </c>
      <c r="C273" s="1" t="s">
        <v>398</v>
      </c>
    </row>
    <row r="274" spans="1:3" x14ac:dyDescent="0.35">
      <c r="A274" s="1" t="s">
        <v>113</v>
      </c>
      <c r="B274" s="1" t="s">
        <v>50</v>
      </c>
      <c r="C274" s="1" t="s">
        <v>368</v>
      </c>
    </row>
    <row r="275" spans="1:3" x14ac:dyDescent="0.35">
      <c r="A275" s="1" t="s">
        <v>125</v>
      </c>
      <c r="B275" s="1" t="s">
        <v>138</v>
      </c>
      <c r="C275" s="1" t="s">
        <v>394</v>
      </c>
    </row>
    <row r="276" spans="1:3" x14ac:dyDescent="0.35">
      <c r="A276" s="1" t="s">
        <v>34</v>
      </c>
      <c r="B276" s="1" t="s">
        <v>744</v>
      </c>
      <c r="C276" s="1" t="s">
        <v>759</v>
      </c>
    </row>
    <row r="277" spans="1:3" x14ac:dyDescent="0.35">
      <c r="A277" s="1" t="s">
        <v>581</v>
      </c>
      <c r="B277" s="1" t="s">
        <v>579</v>
      </c>
      <c r="C277" s="1" t="s">
        <v>582</v>
      </c>
    </row>
    <row r="278" spans="1:3" x14ac:dyDescent="0.35">
      <c r="A278" s="1" t="s">
        <v>306</v>
      </c>
      <c r="B278" s="1" t="s">
        <v>100</v>
      </c>
      <c r="C278" s="1" t="s">
        <v>307</v>
      </c>
    </row>
    <row r="279" spans="1:3" x14ac:dyDescent="0.35">
      <c r="A279" s="1" t="s">
        <v>303</v>
      </c>
      <c r="B279" s="1" t="s">
        <v>100</v>
      </c>
      <c r="C279" s="1" t="s">
        <v>304</v>
      </c>
    </row>
    <row r="280" spans="1:3" x14ac:dyDescent="0.35">
      <c r="A280" s="1" t="s">
        <v>90</v>
      </c>
      <c r="B280" s="1" t="s">
        <v>50</v>
      </c>
      <c r="C280" s="1" t="s">
        <v>361</v>
      </c>
    </row>
    <row r="281" spans="1:3" x14ac:dyDescent="0.35">
      <c r="A281" s="1" t="s">
        <v>395</v>
      </c>
      <c r="B281" s="1" t="s">
        <v>138</v>
      </c>
      <c r="C281" s="1" t="s">
        <v>396</v>
      </c>
    </row>
    <row r="282" spans="1:3" x14ac:dyDescent="0.35">
      <c r="A282" s="1" t="s">
        <v>742</v>
      </c>
      <c r="B282" s="1" t="s">
        <v>742</v>
      </c>
      <c r="C282" s="1" t="s">
        <v>743</v>
      </c>
    </row>
    <row r="283" spans="1:3" x14ac:dyDescent="0.35">
      <c r="A283" s="1" t="s">
        <v>583</v>
      </c>
      <c r="B283" s="1" t="s">
        <v>584</v>
      </c>
      <c r="C283" s="1" t="s">
        <v>585</v>
      </c>
    </row>
    <row r="284" spans="1:3" x14ac:dyDescent="0.35">
      <c r="A284" s="1" t="s">
        <v>567</v>
      </c>
      <c r="B284" s="1" t="s">
        <v>138</v>
      </c>
      <c r="C284" s="1" t="s">
        <v>568</v>
      </c>
    </row>
    <row r="285" spans="1:3" x14ac:dyDescent="0.35">
      <c r="A285" s="1" t="s">
        <v>724</v>
      </c>
      <c r="B285" s="1" t="s">
        <v>661</v>
      </c>
      <c r="C285" s="1" t="s">
        <v>725</v>
      </c>
    </row>
    <row r="286" spans="1:3" x14ac:dyDescent="0.35">
      <c r="A286" s="1" t="s">
        <v>432</v>
      </c>
      <c r="B286" s="1" t="s">
        <v>138</v>
      </c>
      <c r="C286" s="1" t="s">
        <v>433</v>
      </c>
    </row>
    <row r="287" spans="1:3" x14ac:dyDescent="0.35">
      <c r="A287" s="1" t="s">
        <v>215</v>
      </c>
      <c r="B287" s="1" t="s">
        <v>661</v>
      </c>
      <c r="C287" s="1" t="s">
        <v>723</v>
      </c>
    </row>
    <row r="288" spans="1:3" x14ac:dyDescent="0.35">
      <c r="A288" s="1" t="s">
        <v>561</v>
      </c>
      <c r="B288" s="1" t="s">
        <v>138</v>
      </c>
      <c r="C288" s="1" t="s">
        <v>562</v>
      </c>
    </row>
    <row r="289" spans="1:3" x14ac:dyDescent="0.35">
      <c r="A289" s="1" t="s">
        <v>84</v>
      </c>
      <c r="B289" s="1" t="s">
        <v>50</v>
      </c>
      <c r="C289" s="1" t="s">
        <v>379</v>
      </c>
    </row>
    <row r="290" spans="1:3" x14ac:dyDescent="0.35">
      <c r="A290" s="1" t="s">
        <v>136</v>
      </c>
      <c r="B290" s="1" t="s">
        <v>50</v>
      </c>
      <c r="C290" s="1" t="s">
        <v>370</v>
      </c>
    </row>
    <row r="291" spans="1:3" x14ac:dyDescent="0.35">
      <c r="A291" s="1" t="s">
        <v>457</v>
      </c>
      <c r="B291" s="1" t="s">
        <v>138</v>
      </c>
      <c r="C291" s="1" t="s">
        <v>458</v>
      </c>
    </row>
    <row r="292" spans="1:3" x14ac:dyDescent="0.35">
      <c r="A292" s="1" t="s">
        <v>721</v>
      </c>
      <c r="B292" s="1" t="s">
        <v>661</v>
      </c>
      <c r="C292" s="1" t="s">
        <v>722</v>
      </c>
    </row>
    <row r="293" spans="1:3" x14ac:dyDescent="0.35">
      <c r="A293" s="1" t="s">
        <v>27</v>
      </c>
      <c r="B293" s="1" t="s">
        <v>661</v>
      </c>
      <c r="C293" s="1" t="s">
        <v>720</v>
      </c>
    </row>
    <row r="294" spans="1:3" x14ac:dyDescent="0.35">
      <c r="A294" s="1" t="s">
        <v>217</v>
      </c>
      <c r="B294" s="1" t="s">
        <v>762</v>
      </c>
      <c r="C294" s="1" t="s">
        <v>776</v>
      </c>
    </row>
    <row r="295" spans="1:3" x14ac:dyDescent="0.35">
      <c r="A295" s="1" t="s">
        <v>327</v>
      </c>
      <c r="B295" s="1" t="s">
        <v>162</v>
      </c>
      <c r="C295" s="1" t="s">
        <v>328</v>
      </c>
    </row>
    <row r="296" spans="1:3" x14ac:dyDescent="0.35">
      <c r="A296" s="1" t="s">
        <v>33</v>
      </c>
      <c r="B296" s="1" t="s">
        <v>661</v>
      </c>
      <c r="C296" s="1" t="s">
        <v>719</v>
      </c>
    </row>
    <row r="297" spans="1:3" x14ac:dyDescent="0.35">
      <c r="A297" s="1" t="s">
        <v>420</v>
      </c>
      <c r="B297" s="1" t="s">
        <v>138</v>
      </c>
      <c r="C297" s="1" t="s">
        <v>421</v>
      </c>
    </row>
    <row r="298" spans="1:3" x14ac:dyDescent="0.35">
      <c r="A298" s="1" t="s">
        <v>301</v>
      </c>
      <c r="B298" s="1" t="s">
        <v>100</v>
      </c>
      <c r="C298" s="1" t="s">
        <v>302</v>
      </c>
    </row>
    <row r="299" spans="1:3" x14ac:dyDescent="0.35">
      <c r="A299" s="1" t="s">
        <v>68</v>
      </c>
      <c r="B299" s="1" t="s">
        <v>18</v>
      </c>
      <c r="C299" s="1" t="s">
        <v>621</v>
      </c>
    </row>
    <row r="300" spans="1:3" x14ac:dyDescent="0.35">
      <c r="A300" s="1" t="s">
        <v>445</v>
      </c>
      <c r="B300" s="1" t="s">
        <v>138</v>
      </c>
      <c r="C300" s="1" t="s">
        <v>446</v>
      </c>
    </row>
    <row r="301" spans="1:3" x14ac:dyDescent="0.35">
      <c r="A301" s="1" t="s">
        <v>478</v>
      </c>
      <c r="B301" s="1" t="s">
        <v>138</v>
      </c>
      <c r="C301" s="1" t="s">
        <v>479</v>
      </c>
    </row>
    <row r="302" spans="1:3" x14ac:dyDescent="0.35">
      <c r="A302" s="1" t="s">
        <v>208</v>
      </c>
      <c r="B302" s="1" t="s">
        <v>661</v>
      </c>
      <c r="C302" s="1" t="s">
        <v>718</v>
      </c>
    </row>
    <row r="303" spans="1:3" x14ac:dyDescent="0.35">
      <c r="A303" s="1" t="s">
        <v>168</v>
      </c>
      <c r="B303" s="1" t="s">
        <v>661</v>
      </c>
      <c r="C303" s="1" t="s">
        <v>717</v>
      </c>
    </row>
    <row r="304" spans="1:3" x14ac:dyDescent="0.35">
      <c r="A304" s="1" t="s">
        <v>577</v>
      </c>
      <c r="B304" s="1" t="s">
        <v>573</v>
      </c>
      <c r="C304" s="1" t="s">
        <v>578</v>
      </c>
    </row>
    <row r="305" spans="1:3" x14ac:dyDescent="0.35">
      <c r="A305" s="1" t="s">
        <v>99</v>
      </c>
      <c r="B305" s="1" t="s">
        <v>817</v>
      </c>
      <c r="C305" s="1" t="s">
        <v>821</v>
      </c>
    </row>
    <row r="306" spans="1:3" x14ac:dyDescent="0.35">
      <c r="A306" s="1" t="s">
        <v>237</v>
      </c>
      <c r="B306" s="1" t="s">
        <v>804</v>
      </c>
      <c r="C306" s="1" t="s">
        <v>816</v>
      </c>
    </row>
    <row r="307" spans="1:3" x14ac:dyDescent="0.35">
      <c r="A307" s="1" t="s">
        <v>285</v>
      </c>
      <c r="B307" s="1" t="s">
        <v>804</v>
      </c>
      <c r="C307" s="1" t="s">
        <v>815</v>
      </c>
    </row>
    <row r="308" spans="1:3" x14ac:dyDescent="0.35">
      <c r="A308" s="1" t="s">
        <v>463</v>
      </c>
      <c r="B308" s="1" t="s">
        <v>138</v>
      </c>
      <c r="C308" s="1" t="s">
        <v>464</v>
      </c>
    </row>
    <row r="309" spans="1:3" x14ac:dyDescent="0.35">
      <c r="A309" s="1" t="s">
        <v>264</v>
      </c>
      <c r="B309" s="1" t="s">
        <v>138</v>
      </c>
      <c r="C309" s="1" t="s">
        <v>477</v>
      </c>
    </row>
    <row r="310" spans="1:3" x14ac:dyDescent="0.35">
      <c r="A310" s="1" t="s">
        <v>316</v>
      </c>
      <c r="B310" s="1" t="s">
        <v>162</v>
      </c>
      <c r="C310" s="1" t="s">
        <v>317</v>
      </c>
    </row>
    <row r="311" spans="1:3" x14ac:dyDescent="0.35">
      <c r="A311" s="1" t="s">
        <v>461</v>
      </c>
      <c r="B311" s="1" t="s">
        <v>138</v>
      </c>
      <c r="C311" s="1" t="s">
        <v>462</v>
      </c>
    </row>
    <row r="312" spans="1:3" x14ac:dyDescent="0.35">
      <c r="A312" s="1" t="s">
        <v>211</v>
      </c>
      <c r="B312" s="1" t="s">
        <v>138</v>
      </c>
      <c r="C312" s="1" t="s">
        <v>438</v>
      </c>
    </row>
    <row r="313" spans="1:3" x14ac:dyDescent="0.35">
      <c r="A313" s="1" t="s">
        <v>160</v>
      </c>
      <c r="B313" s="1" t="s">
        <v>18</v>
      </c>
      <c r="C313" s="1" t="s">
        <v>659</v>
      </c>
    </row>
    <row r="314" spans="1:3" x14ac:dyDescent="0.35">
      <c r="A314" s="1" t="s">
        <v>86</v>
      </c>
      <c r="B314" s="1" t="s">
        <v>50</v>
      </c>
      <c r="C314" s="1" t="s">
        <v>340</v>
      </c>
    </row>
    <row r="315" spans="1:3" x14ac:dyDescent="0.35">
      <c r="A315" s="1" t="s">
        <v>376</v>
      </c>
      <c r="B315" s="1" t="s">
        <v>50</v>
      </c>
      <c r="C315" s="1" t="s">
        <v>377</v>
      </c>
    </row>
    <row r="316" spans="1:3" x14ac:dyDescent="0.35">
      <c r="A316" s="1" t="s">
        <v>53</v>
      </c>
      <c r="B316" s="1" t="s">
        <v>50</v>
      </c>
      <c r="C316" s="1" t="s">
        <v>345</v>
      </c>
    </row>
    <row r="317" spans="1:3" x14ac:dyDescent="0.35">
      <c r="A317" s="1" t="s">
        <v>54</v>
      </c>
      <c r="B317" s="1" t="s">
        <v>50</v>
      </c>
      <c r="C317" s="1" t="s">
        <v>373</v>
      </c>
    </row>
    <row r="318" spans="1:3" x14ac:dyDescent="0.35">
      <c r="A318" s="1" t="s">
        <v>62</v>
      </c>
      <c r="B318" s="1" t="s">
        <v>50</v>
      </c>
      <c r="C318" s="1" t="s">
        <v>375</v>
      </c>
    </row>
    <row r="319" spans="1:3" x14ac:dyDescent="0.35">
      <c r="A319" s="1" t="s">
        <v>119</v>
      </c>
      <c r="B319" s="1" t="s">
        <v>50</v>
      </c>
      <c r="C319" s="1" t="s">
        <v>343</v>
      </c>
    </row>
    <row r="320" spans="1:3" x14ac:dyDescent="0.35">
      <c r="A320" s="1" t="s">
        <v>251</v>
      </c>
      <c r="B320" s="1" t="s">
        <v>762</v>
      </c>
      <c r="C320" s="1" t="s">
        <v>771</v>
      </c>
    </row>
    <row r="321" spans="1:3" x14ac:dyDescent="0.35">
      <c r="A321" s="1" t="s">
        <v>69</v>
      </c>
      <c r="B321" s="1" t="s">
        <v>50</v>
      </c>
      <c r="C321" s="1" t="s">
        <v>372</v>
      </c>
    </row>
    <row r="322" spans="1:3" x14ac:dyDescent="0.35">
      <c r="A322" s="1" t="s">
        <v>39</v>
      </c>
      <c r="B322" s="1" t="s">
        <v>817</v>
      </c>
      <c r="C322" s="1" t="s">
        <v>820</v>
      </c>
    </row>
    <row r="323" spans="1:3" x14ac:dyDescent="0.35">
      <c r="A323" s="1" t="s">
        <v>262</v>
      </c>
      <c r="B323" s="1" t="s">
        <v>661</v>
      </c>
      <c r="C323" s="1" t="s">
        <v>716</v>
      </c>
    </row>
    <row r="324" spans="1:3" x14ac:dyDescent="0.35">
      <c r="A324" s="1" t="s">
        <v>135</v>
      </c>
      <c r="B324" s="1" t="s">
        <v>762</v>
      </c>
      <c r="C324" s="1" t="s">
        <v>770</v>
      </c>
    </row>
    <row r="325" spans="1:3" x14ac:dyDescent="0.35">
      <c r="A325" s="1" t="s">
        <v>32</v>
      </c>
      <c r="B325" s="1" t="s">
        <v>661</v>
      </c>
      <c r="C325" s="1" t="s">
        <v>715</v>
      </c>
    </row>
    <row r="326" spans="1:3" x14ac:dyDescent="0.35">
      <c r="A326" s="1" t="s">
        <v>436</v>
      </c>
      <c r="B326" s="1" t="s">
        <v>138</v>
      </c>
      <c r="C326" s="1" t="s">
        <v>437</v>
      </c>
    </row>
    <row r="327" spans="1:3" x14ac:dyDescent="0.35">
      <c r="A327" s="1" t="s">
        <v>36</v>
      </c>
      <c r="B327" s="1" t="s">
        <v>817</v>
      </c>
      <c r="C327" s="1" t="s">
        <v>819</v>
      </c>
    </row>
    <row r="328" spans="1:3" x14ac:dyDescent="0.35">
      <c r="A328" s="1" t="s">
        <v>412</v>
      </c>
      <c r="B328" s="1" t="s">
        <v>138</v>
      </c>
      <c r="C328" s="1" t="s">
        <v>413</v>
      </c>
    </row>
    <row r="329" spans="1:3" x14ac:dyDescent="0.35">
      <c r="A329" s="1" t="s">
        <v>38</v>
      </c>
      <c r="B329" s="1" t="s">
        <v>661</v>
      </c>
      <c r="C329" s="1" t="s">
        <v>668</v>
      </c>
    </row>
    <row r="330" spans="1:3" x14ac:dyDescent="0.35">
      <c r="A330" s="1" t="s">
        <v>439</v>
      </c>
      <c r="B330" s="1" t="s">
        <v>138</v>
      </c>
      <c r="C330" s="1" t="s">
        <v>440</v>
      </c>
    </row>
    <row r="331" spans="1:3" x14ac:dyDescent="0.35">
      <c r="A331" s="1" t="s">
        <v>504</v>
      </c>
      <c r="B331" s="1" t="s">
        <v>138</v>
      </c>
      <c r="C331" s="1" t="s">
        <v>505</v>
      </c>
    </row>
    <row r="332" spans="1:3" x14ac:dyDescent="0.35">
      <c r="A332" s="1" t="s">
        <v>209</v>
      </c>
      <c r="B332" s="1" t="s">
        <v>661</v>
      </c>
      <c r="C332" s="1" t="s">
        <v>712</v>
      </c>
    </row>
    <row r="333" spans="1:3" x14ac:dyDescent="0.35">
      <c r="A333" s="1" t="s">
        <v>710</v>
      </c>
      <c r="B333" s="1" t="s">
        <v>661</v>
      </c>
      <c r="C333" s="1" t="s">
        <v>711</v>
      </c>
    </row>
    <row r="334" spans="1:3" x14ac:dyDescent="0.35">
      <c r="A334" s="1" t="s">
        <v>104</v>
      </c>
      <c r="B334" s="1" t="s">
        <v>817</v>
      </c>
      <c r="C334" s="1" t="s">
        <v>818</v>
      </c>
    </row>
    <row r="335" spans="1:3" x14ac:dyDescent="0.35">
      <c r="A335" s="1" t="s">
        <v>80</v>
      </c>
      <c r="B335" s="1" t="s">
        <v>50</v>
      </c>
      <c r="C335" s="1" t="s">
        <v>347</v>
      </c>
    </row>
    <row r="336" spans="1:3" x14ac:dyDescent="0.35">
      <c r="A336" s="1" t="s">
        <v>708</v>
      </c>
      <c r="B336" s="1" t="s">
        <v>661</v>
      </c>
      <c r="C336" s="1" t="s">
        <v>709</v>
      </c>
    </row>
    <row r="337" spans="1:3" x14ac:dyDescent="0.35">
      <c r="A337" s="1" t="s">
        <v>557</v>
      </c>
      <c r="B337" s="1" t="s">
        <v>138</v>
      </c>
      <c r="C337" s="1" t="s">
        <v>558</v>
      </c>
    </row>
    <row r="338" spans="1:3" x14ac:dyDescent="0.35">
      <c r="A338" s="1" t="s">
        <v>447</v>
      </c>
      <c r="B338" s="1" t="s">
        <v>138</v>
      </c>
      <c r="C338" s="1" t="s">
        <v>448</v>
      </c>
    </row>
    <row r="339" spans="1:3" x14ac:dyDescent="0.35">
      <c r="A339" s="1" t="s">
        <v>45</v>
      </c>
      <c r="B339" s="1" t="s">
        <v>804</v>
      </c>
      <c r="C339" s="1" t="s">
        <v>812</v>
      </c>
    </row>
    <row r="340" spans="1:3" x14ac:dyDescent="0.35">
      <c r="A340" s="1" t="s">
        <v>312</v>
      </c>
      <c r="B340" s="1" t="s">
        <v>100</v>
      </c>
      <c r="C340" s="1" t="s">
        <v>313</v>
      </c>
    </row>
    <row r="341" spans="1:3" x14ac:dyDescent="0.35">
      <c r="A341" s="1" t="s">
        <v>21</v>
      </c>
      <c r="B341" s="1" t="s">
        <v>762</v>
      </c>
      <c r="C341" s="1" t="s">
        <v>767</v>
      </c>
    </row>
    <row r="342" spans="1:3" x14ac:dyDescent="0.35">
      <c r="A342" s="1" t="s">
        <v>624</v>
      </c>
      <c r="B342" s="1" t="s">
        <v>18</v>
      </c>
      <c r="C342" s="1" t="s">
        <v>625</v>
      </c>
    </row>
    <row r="343" spans="1:3" x14ac:dyDescent="0.35">
      <c r="A343" s="1" t="s">
        <v>169</v>
      </c>
      <c r="B343" s="1" t="s">
        <v>661</v>
      </c>
      <c r="C343" s="1" t="s">
        <v>707</v>
      </c>
    </row>
    <row r="344" spans="1:3" x14ac:dyDescent="0.35">
      <c r="A344" s="1" t="s">
        <v>236</v>
      </c>
      <c r="B344" s="1" t="s">
        <v>661</v>
      </c>
      <c r="C344" s="1" t="s">
        <v>705</v>
      </c>
    </row>
    <row r="345" spans="1:3" x14ac:dyDescent="0.35">
      <c r="A345" s="1" t="s">
        <v>731</v>
      </c>
      <c r="B345" s="1" t="s">
        <v>661</v>
      </c>
      <c r="C345" s="1" t="s">
        <v>732</v>
      </c>
    </row>
    <row r="346" spans="1:3" x14ac:dyDescent="0.35">
      <c r="A346" s="1" t="s">
        <v>701</v>
      </c>
      <c r="B346" s="1" t="s">
        <v>661</v>
      </c>
      <c r="C346" s="1" t="s">
        <v>702</v>
      </c>
    </row>
    <row r="347" spans="1:3" x14ac:dyDescent="0.35">
      <c r="A347" s="1" t="s">
        <v>37</v>
      </c>
      <c r="B347" s="1" t="s">
        <v>817</v>
      </c>
      <c r="C347" s="1" t="s">
        <v>846</v>
      </c>
    </row>
    <row r="348" spans="1:3" x14ac:dyDescent="0.35">
      <c r="A348" s="1" t="s">
        <v>765</v>
      </c>
      <c r="B348" s="1" t="s">
        <v>762</v>
      </c>
      <c r="C348" s="1" t="s">
        <v>766</v>
      </c>
    </row>
    <row r="349" spans="1:3" x14ac:dyDescent="0.35">
      <c r="A349" s="1" t="s">
        <v>40</v>
      </c>
      <c r="B349" s="1" t="s">
        <v>661</v>
      </c>
      <c r="C349" s="1" t="s">
        <v>700</v>
      </c>
    </row>
    <row r="350" spans="1:3" x14ac:dyDescent="0.35">
      <c r="A350" s="1" t="s">
        <v>7</v>
      </c>
      <c r="B350" s="1" t="s">
        <v>762</v>
      </c>
      <c r="C350" s="1" t="s">
        <v>764</v>
      </c>
    </row>
    <row r="351" spans="1:3" x14ac:dyDescent="0.35">
      <c r="A351" s="1" t="s">
        <v>757</v>
      </c>
      <c r="B351" s="1" t="s">
        <v>744</v>
      </c>
      <c r="C351" s="1" t="s">
        <v>758</v>
      </c>
    </row>
    <row r="352" spans="1:3" x14ac:dyDescent="0.35">
      <c r="A352" s="1" t="s">
        <v>761</v>
      </c>
      <c r="B352" s="1" t="s">
        <v>762</v>
      </c>
      <c r="C352" s="1" t="s">
        <v>763</v>
      </c>
    </row>
    <row r="353" spans="1:3" x14ac:dyDescent="0.35">
      <c r="A353" s="1" t="s">
        <v>810</v>
      </c>
      <c r="B353" s="1" t="s">
        <v>804</v>
      </c>
      <c r="C353" s="1" t="s">
        <v>811</v>
      </c>
    </row>
    <row r="354" spans="1:3" x14ac:dyDescent="0.35">
      <c r="A354" s="1" t="s">
        <v>147</v>
      </c>
      <c r="B354" s="1" t="s">
        <v>762</v>
      </c>
      <c r="C354" s="1" t="s">
        <v>801</v>
      </c>
    </row>
    <row r="355" spans="1:3" x14ac:dyDescent="0.35">
      <c r="A355" s="1" t="s">
        <v>471</v>
      </c>
      <c r="B355" s="1" t="s">
        <v>138</v>
      </c>
      <c r="C355" s="1" t="s">
        <v>472</v>
      </c>
    </row>
    <row r="356" spans="1:3" x14ac:dyDescent="0.35">
      <c r="A356" s="1" t="s">
        <v>515</v>
      </c>
      <c r="B356" s="1" t="s">
        <v>138</v>
      </c>
      <c r="C356" s="1" t="s">
        <v>516</v>
      </c>
    </row>
    <row r="357" spans="1:3" x14ac:dyDescent="0.35">
      <c r="A357" s="1" t="s">
        <v>517</v>
      </c>
      <c r="B357" s="1" t="s">
        <v>138</v>
      </c>
      <c r="C357" s="1" t="s">
        <v>518</v>
      </c>
    </row>
    <row r="358" spans="1:3" x14ac:dyDescent="0.35">
      <c r="A358" s="1" t="s">
        <v>563</v>
      </c>
      <c r="B358" s="1" t="s">
        <v>138</v>
      </c>
      <c r="C358" s="1" t="s">
        <v>564</v>
      </c>
    </row>
    <row r="359" spans="1:3" x14ac:dyDescent="0.35">
      <c r="A359" s="1" t="s">
        <v>571</v>
      </c>
      <c r="B359" s="1" t="s">
        <v>138</v>
      </c>
      <c r="C359" s="1" t="s">
        <v>572</v>
      </c>
    </row>
    <row r="360" spans="1:3" x14ac:dyDescent="0.35">
      <c r="A360" s="1" t="s">
        <v>268</v>
      </c>
      <c r="B360" s="1" t="s">
        <v>661</v>
      </c>
      <c r="C360" s="1" t="s">
        <v>699</v>
      </c>
    </row>
  </sheetData>
  <autoFilter ref="A1:C360" xr:uid="{E3D596A8-8610-402A-B4B8-BB467E983D0A}">
    <sortState xmlns:xlrd2="http://schemas.microsoft.com/office/spreadsheetml/2017/richdata2" ref="A2:C360">
      <sortCondition ref="A1:A36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D685-1B5B-44D6-B3AA-D86701B1C729}">
  <dimension ref="A1:B1335"/>
  <sheetViews>
    <sheetView tabSelected="1" zoomScaleNormal="100" workbookViewId="0">
      <pane ySplit="1" topLeftCell="A910" activePane="bottomLeft" state="frozen"/>
      <selection pane="bottomLeft" activeCell="A919" sqref="A919"/>
    </sheetView>
  </sheetViews>
  <sheetFormatPr baseColWidth="10" defaultRowHeight="14.5" x14ac:dyDescent="0.35"/>
  <cols>
    <col min="1" max="1" width="56.90625" bestFit="1" customWidth="1"/>
    <col min="2" max="2" width="56.90625" customWidth="1"/>
  </cols>
  <sheetData>
    <row r="1" spans="1:2" x14ac:dyDescent="0.35">
      <c r="A1" t="s">
        <v>1814</v>
      </c>
      <c r="B1" t="s">
        <v>1818</v>
      </c>
    </row>
    <row r="2" spans="1:2" x14ac:dyDescent="0.35">
      <c r="A2" t="s">
        <v>81</v>
      </c>
      <c r="B2" t="s">
        <v>81</v>
      </c>
    </row>
    <row r="3" spans="1:2" x14ac:dyDescent="0.35">
      <c r="A3" t="s">
        <v>523</v>
      </c>
      <c r="B3" t="s">
        <v>523</v>
      </c>
    </row>
    <row r="4" spans="1:2" x14ac:dyDescent="0.35">
      <c r="A4" t="s">
        <v>855</v>
      </c>
      <c r="B4" t="s">
        <v>480</v>
      </c>
    </row>
    <row r="5" spans="1:2" x14ac:dyDescent="0.35">
      <c r="A5" t="s">
        <v>856</v>
      </c>
      <c r="B5" t="s">
        <v>480</v>
      </c>
    </row>
    <row r="6" spans="1:2" x14ac:dyDescent="0.35">
      <c r="A6" t="s">
        <v>857</v>
      </c>
      <c r="B6" t="s">
        <v>480</v>
      </c>
    </row>
    <row r="7" spans="1:2" x14ac:dyDescent="0.35">
      <c r="A7" t="s">
        <v>858</v>
      </c>
      <c r="B7" t="s">
        <v>480</v>
      </c>
    </row>
    <row r="8" spans="1:2" x14ac:dyDescent="0.35">
      <c r="A8" t="s">
        <v>859</v>
      </c>
      <c r="B8" t="s">
        <v>480</v>
      </c>
    </row>
    <row r="9" spans="1:2" x14ac:dyDescent="0.35">
      <c r="A9" t="s">
        <v>860</v>
      </c>
      <c r="B9" t="s">
        <v>480</v>
      </c>
    </row>
    <row r="10" spans="1:2" x14ac:dyDescent="0.35">
      <c r="A10" t="s">
        <v>861</v>
      </c>
      <c r="B10" t="s">
        <v>480</v>
      </c>
    </row>
    <row r="11" spans="1:2" x14ac:dyDescent="0.35">
      <c r="A11" t="s">
        <v>862</v>
      </c>
      <c r="B11" t="s">
        <v>480</v>
      </c>
    </row>
    <row r="12" spans="1:2" x14ac:dyDescent="0.35">
      <c r="A12" t="s">
        <v>863</v>
      </c>
      <c r="B12" t="s">
        <v>480</v>
      </c>
    </row>
    <row r="13" spans="1:2" x14ac:dyDescent="0.35">
      <c r="A13" t="s">
        <v>864</v>
      </c>
      <c r="B13" t="s">
        <v>480</v>
      </c>
    </row>
    <row r="14" spans="1:2" x14ac:dyDescent="0.35">
      <c r="A14" t="s">
        <v>865</v>
      </c>
      <c r="B14" t="s">
        <v>480</v>
      </c>
    </row>
    <row r="15" spans="1:2" x14ac:dyDescent="0.35">
      <c r="A15" t="s">
        <v>866</v>
      </c>
      <c r="B15" t="s">
        <v>480</v>
      </c>
    </row>
    <row r="16" spans="1:2" x14ac:dyDescent="0.35">
      <c r="A16" t="s">
        <v>867</v>
      </c>
      <c r="B16" t="s">
        <v>480</v>
      </c>
    </row>
    <row r="17" spans="1:2" x14ac:dyDescent="0.35">
      <c r="A17" t="s">
        <v>868</v>
      </c>
      <c r="B17" t="s">
        <v>480</v>
      </c>
    </row>
    <row r="18" spans="1:2" x14ac:dyDescent="0.35">
      <c r="A18" t="s">
        <v>869</v>
      </c>
      <c r="B18" t="s">
        <v>480</v>
      </c>
    </row>
    <row r="19" spans="1:2" x14ac:dyDescent="0.35">
      <c r="A19" t="s">
        <v>870</v>
      </c>
      <c r="B19" t="s">
        <v>100</v>
      </c>
    </row>
    <row r="20" spans="1:2" x14ac:dyDescent="0.35">
      <c r="A20" t="s">
        <v>871</v>
      </c>
      <c r="B20" t="s">
        <v>100</v>
      </c>
    </row>
    <row r="21" spans="1:2" x14ac:dyDescent="0.35">
      <c r="A21" t="s">
        <v>872</v>
      </c>
      <c r="B21" t="s">
        <v>100</v>
      </c>
    </row>
    <row r="22" spans="1:2" x14ac:dyDescent="0.35">
      <c r="A22" t="s">
        <v>873</v>
      </c>
      <c r="B22" t="s">
        <v>100</v>
      </c>
    </row>
    <row r="23" spans="1:2" x14ac:dyDescent="0.35">
      <c r="A23" t="s">
        <v>874</v>
      </c>
      <c r="B23" t="s">
        <v>100</v>
      </c>
    </row>
    <row r="24" spans="1:2" x14ac:dyDescent="0.35">
      <c r="A24" t="s">
        <v>875</v>
      </c>
      <c r="B24" t="s">
        <v>100</v>
      </c>
    </row>
    <row r="25" spans="1:2" x14ac:dyDescent="0.35">
      <c r="A25" t="s">
        <v>876</v>
      </c>
      <c r="B25" t="s">
        <v>100</v>
      </c>
    </row>
    <row r="26" spans="1:2" x14ac:dyDescent="0.35">
      <c r="A26" t="s">
        <v>877</v>
      </c>
      <c r="B26" t="s">
        <v>100</v>
      </c>
    </row>
    <row r="27" spans="1:2" x14ac:dyDescent="0.35">
      <c r="A27" t="s">
        <v>878</v>
      </c>
      <c r="B27" t="s">
        <v>100</v>
      </c>
    </row>
    <row r="28" spans="1:2" x14ac:dyDescent="0.35">
      <c r="A28" t="s">
        <v>879</v>
      </c>
      <c r="B28" t="s">
        <v>100</v>
      </c>
    </row>
    <row r="29" spans="1:2" x14ac:dyDescent="0.35">
      <c r="A29" t="s">
        <v>880</v>
      </c>
      <c r="B29" t="s">
        <v>100</v>
      </c>
    </row>
    <row r="30" spans="1:2" x14ac:dyDescent="0.35">
      <c r="A30" t="s">
        <v>881</v>
      </c>
      <c r="B30" t="s">
        <v>100</v>
      </c>
    </row>
    <row r="31" spans="1:2" x14ac:dyDescent="0.35">
      <c r="A31" t="s">
        <v>882</v>
      </c>
      <c r="B31" t="s">
        <v>100</v>
      </c>
    </row>
    <row r="32" spans="1:2" x14ac:dyDescent="0.35">
      <c r="A32" t="s">
        <v>883</v>
      </c>
      <c r="B32" t="s">
        <v>100</v>
      </c>
    </row>
    <row r="33" spans="1:2" x14ac:dyDescent="0.35">
      <c r="A33" t="s">
        <v>884</v>
      </c>
      <c r="B33" t="s">
        <v>100</v>
      </c>
    </row>
    <row r="34" spans="1:2" x14ac:dyDescent="0.35">
      <c r="A34" t="s">
        <v>885</v>
      </c>
      <c r="B34" t="s">
        <v>100</v>
      </c>
    </row>
    <row r="35" spans="1:2" x14ac:dyDescent="0.35">
      <c r="A35" t="s">
        <v>886</v>
      </c>
      <c r="B35" t="s">
        <v>100</v>
      </c>
    </row>
    <row r="36" spans="1:2" x14ac:dyDescent="0.35">
      <c r="A36" t="s">
        <v>887</v>
      </c>
      <c r="B36" t="s">
        <v>100</v>
      </c>
    </row>
    <row r="37" spans="1:2" x14ac:dyDescent="0.35">
      <c r="A37" t="s">
        <v>888</v>
      </c>
      <c r="B37" t="s">
        <v>100</v>
      </c>
    </row>
    <row r="38" spans="1:2" x14ac:dyDescent="0.35">
      <c r="A38" t="s">
        <v>889</v>
      </c>
      <c r="B38" t="s">
        <v>100</v>
      </c>
    </row>
    <row r="39" spans="1:2" x14ac:dyDescent="0.35">
      <c r="A39" t="s">
        <v>890</v>
      </c>
      <c r="B39" t="s">
        <v>100</v>
      </c>
    </row>
    <row r="40" spans="1:2" x14ac:dyDescent="0.35">
      <c r="A40" t="s">
        <v>891</v>
      </c>
      <c r="B40" t="s">
        <v>100</v>
      </c>
    </row>
    <row r="41" spans="1:2" x14ac:dyDescent="0.35">
      <c r="A41" t="s">
        <v>892</v>
      </c>
      <c r="B41" t="s">
        <v>100</v>
      </c>
    </row>
    <row r="42" spans="1:2" x14ac:dyDescent="0.35">
      <c r="A42" t="s">
        <v>893</v>
      </c>
      <c r="B42" t="s">
        <v>100</v>
      </c>
    </row>
    <row r="43" spans="1:2" x14ac:dyDescent="0.35">
      <c r="A43" t="s">
        <v>894</v>
      </c>
      <c r="B43" t="s">
        <v>100</v>
      </c>
    </row>
    <row r="44" spans="1:2" x14ac:dyDescent="0.35">
      <c r="A44" t="s">
        <v>895</v>
      </c>
      <c r="B44" t="s">
        <v>100</v>
      </c>
    </row>
    <row r="45" spans="1:2" x14ac:dyDescent="0.35">
      <c r="A45" t="s">
        <v>896</v>
      </c>
      <c r="B45" t="s">
        <v>100</v>
      </c>
    </row>
    <row r="46" spans="1:2" x14ac:dyDescent="0.35">
      <c r="A46" t="s">
        <v>897</v>
      </c>
      <c r="B46" t="s">
        <v>100</v>
      </c>
    </row>
    <row r="47" spans="1:2" x14ac:dyDescent="0.35">
      <c r="A47" t="s">
        <v>259</v>
      </c>
      <c r="B47" t="s">
        <v>100</v>
      </c>
    </row>
    <row r="48" spans="1:2" x14ac:dyDescent="0.35">
      <c r="A48" t="s">
        <v>898</v>
      </c>
      <c r="B48" t="s">
        <v>100</v>
      </c>
    </row>
    <row r="49" spans="1:2" x14ac:dyDescent="0.35">
      <c r="A49" t="s">
        <v>899</v>
      </c>
      <c r="B49" t="s">
        <v>100</v>
      </c>
    </row>
    <row r="50" spans="1:2" x14ac:dyDescent="0.35">
      <c r="A50" t="s">
        <v>900</v>
      </c>
      <c r="B50" t="s">
        <v>100</v>
      </c>
    </row>
    <row r="51" spans="1:2" x14ac:dyDescent="0.35">
      <c r="A51" t="s">
        <v>901</v>
      </c>
      <c r="B51" t="s">
        <v>100</v>
      </c>
    </row>
    <row r="52" spans="1:2" x14ac:dyDescent="0.35">
      <c r="A52" t="s">
        <v>902</v>
      </c>
      <c r="B52" t="s">
        <v>100</v>
      </c>
    </row>
    <row r="53" spans="1:2" x14ac:dyDescent="0.35">
      <c r="A53" t="s">
        <v>903</v>
      </c>
      <c r="B53" t="s">
        <v>100</v>
      </c>
    </row>
    <row r="54" spans="1:2" x14ac:dyDescent="0.35">
      <c r="A54" t="s">
        <v>904</v>
      </c>
      <c r="B54" t="s">
        <v>100</v>
      </c>
    </row>
    <row r="55" spans="1:2" x14ac:dyDescent="0.35">
      <c r="A55" t="s">
        <v>905</v>
      </c>
      <c r="B55" t="s">
        <v>100</v>
      </c>
    </row>
    <row r="56" spans="1:2" x14ac:dyDescent="0.35">
      <c r="A56" t="s">
        <v>906</v>
      </c>
      <c r="B56" t="s">
        <v>100</v>
      </c>
    </row>
    <row r="57" spans="1:2" x14ac:dyDescent="0.35">
      <c r="A57" t="s">
        <v>907</v>
      </c>
      <c r="B57" t="s">
        <v>100</v>
      </c>
    </row>
    <row r="58" spans="1:2" x14ac:dyDescent="0.35">
      <c r="A58" t="s">
        <v>908</v>
      </c>
      <c r="B58" t="s">
        <v>100</v>
      </c>
    </row>
    <row r="59" spans="1:2" x14ac:dyDescent="0.35">
      <c r="A59" t="s">
        <v>909</v>
      </c>
      <c r="B59" t="s">
        <v>100</v>
      </c>
    </row>
    <row r="60" spans="1:2" x14ac:dyDescent="0.35">
      <c r="A60" t="s">
        <v>289</v>
      </c>
      <c r="B60" t="s">
        <v>100</v>
      </c>
    </row>
    <row r="61" spans="1:2" x14ac:dyDescent="0.35">
      <c r="A61" t="s">
        <v>910</v>
      </c>
      <c r="B61" t="s">
        <v>100</v>
      </c>
    </row>
    <row r="62" spans="1:2" x14ac:dyDescent="0.35">
      <c r="A62" t="s">
        <v>911</v>
      </c>
      <c r="B62" t="s">
        <v>100</v>
      </c>
    </row>
    <row r="63" spans="1:2" x14ac:dyDescent="0.35">
      <c r="A63" t="s">
        <v>912</v>
      </c>
      <c r="B63" t="s">
        <v>100</v>
      </c>
    </row>
    <row r="64" spans="1:2" x14ac:dyDescent="0.35">
      <c r="A64" t="s">
        <v>913</v>
      </c>
      <c r="B64" t="s">
        <v>100</v>
      </c>
    </row>
    <row r="65" spans="1:2" x14ac:dyDescent="0.35">
      <c r="A65" t="s">
        <v>914</v>
      </c>
      <c r="B65" t="s">
        <v>100</v>
      </c>
    </row>
    <row r="66" spans="1:2" x14ac:dyDescent="0.35">
      <c r="A66" t="s">
        <v>915</v>
      </c>
      <c r="B66" t="s">
        <v>100</v>
      </c>
    </row>
    <row r="67" spans="1:2" x14ac:dyDescent="0.35">
      <c r="A67" t="s">
        <v>916</v>
      </c>
      <c r="B67" t="s">
        <v>100</v>
      </c>
    </row>
    <row r="68" spans="1:2" x14ac:dyDescent="0.35">
      <c r="A68" t="s">
        <v>917</v>
      </c>
      <c r="B68" t="s">
        <v>100</v>
      </c>
    </row>
    <row r="69" spans="1:2" x14ac:dyDescent="0.35">
      <c r="A69" t="s">
        <v>918</v>
      </c>
      <c r="B69" t="s">
        <v>100</v>
      </c>
    </row>
    <row r="70" spans="1:2" x14ac:dyDescent="0.35">
      <c r="A70" t="s">
        <v>919</v>
      </c>
      <c r="B70" t="s">
        <v>100</v>
      </c>
    </row>
    <row r="71" spans="1:2" x14ac:dyDescent="0.35">
      <c r="A71" t="s">
        <v>920</v>
      </c>
      <c r="B71" t="s">
        <v>100</v>
      </c>
    </row>
    <row r="72" spans="1:2" x14ac:dyDescent="0.35">
      <c r="A72" t="s">
        <v>921</v>
      </c>
      <c r="B72" t="s">
        <v>100</v>
      </c>
    </row>
    <row r="73" spans="1:2" x14ac:dyDescent="0.35">
      <c r="A73" t="s">
        <v>922</v>
      </c>
      <c r="B73" t="s">
        <v>100</v>
      </c>
    </row>
    <row r="74" spans="1:2" x14ac:dyDescent="0.35">
      <c r="A74" t="s">
        <v>923</v>
      </c>
      <c r="B74" t="s">
        <v>100</v>
      </c>
    </row>
    <row r="75" spans="1:2" x14ac:dyDescent="0.35">
      <c r="A75" t="s">
        <v>924</v>
      </c>
      <c r="B75" t="s">
        <v>100</v>
      </c>
    </row>
    <row r="76" spans="1:2" x14ac:dyDescent="0.35">
      <c r="A76" t="s">
        <v>925</v>
      </c>
      <c r="B76" t="s">
        <v>100</v>
      </c>
    </row>
    <row r="77" spans="1:2" x14ac:dyDescent="0.35">
      <c r="A77" t="s">
        <v>926</v>
      </c>
      <c r="B77" t="s">
        <v>100</v>
      </c>
    </row>
    <row r="78" spans="1:2" x14ac:dyDescent="0.35">
      <c r="A78" t="s">
        <v>927</v>
      </c>
      <c r="B78" t="s">
        <v>100</v>
      </c>
    </row>
    <row r="79" spans="1:2" x14ac:dyDescent="0.35">
      <c r="A79" t="s">
        <v>928</v>
      </c>
      <c r="B79" t="s">
        <v>100</v>
      </c>
    </row>
    <row r="80" spans="1:2" x14ac:dyDescent="0.35">
      <c r="A80" t="s">
        <v>929</v>
      </c>
      <c r="B80" t="s">
        <v>100</v>
      </c>
    </row>
    <row r="81" spans="1:2" x14ac:dyDescent="0.35">
      <c r="A81" t="s">
        <v>930</v>
      </c>
      <c r="B81" t="s">
        <v>100</v>
      </c>
    </row>
    <row r="82" spans="1:2" x14ac:dyDescent="0.35">
      <c r="A82" t="s">
        <v>931</v>
      </c>
      <c r="B82" t="s">
        <v>100</v>
      </c>
    </row>
    <row r="83" spans="1:2" x14ac:dyDescent="0.35">
      <c r="A83" t="s">
        <v>932</v>
      </c>
      <c r="B83" t="s">
        <v>100</v>
      </c>
    </row>
    <row r="84" spans="1:2" x14ac:dyDescent="0.35">
      <c r="A84" t="s">
        <v>29</v>
      </c>
      <c r="B84" t="s">
        <v>29</v>
      </c>
    </row>
    <row r="85" spans="1:2" x14ac:dyDescent="0.35">
      <c r="A85" t="s">
        <v>933</v>
      </c>
      <c r="B85" t="s">
        <v>219</v>
      </c>
    </row>
    <row r="86" spans="1:2" x14ac:dyDescent="0.35">
      <c r="A86" t="s">
        <v>934</v>
      </c>
      <c r="B86" t="s">
        <v>29</v>
      </c>
    </row>
    <row r="87" spans="1:2" x14ac:dyDescent="0.35">
      <c r="A87" t="s">
        <v>219</v>
      </c>
      <c r="B87" t="s">
        <v>219</v>
      </c>
    </row>
    <row r="88" spans="1:2" x14ac:dyDescent="0.35">
      <c r="A88" t="s">
        <v>680</v>
      </c>
      <c r="B88" t="s">
        <v>680</v>
      </c>
    </row>
    <row r="89" spans="1:2" x14ac:dyDescent="0.35">
      <c r="A89" t="s">
        <v>174</v>
      </c>
      <c r="B89" t="s">
        <v>174</v>
      </c>
    </row>
    <row r="90" spans="1:2" x14ac:dyDescent="0.35">
      <c r="A90" t="s">
        <v>189</v>
      </c>
      <c r="B90" t="s">
        <v>174</v>
      </c>
    </row>
    <row r="91" spans="1:2" x14ac:dyDescent="0.35">
      <c r="A91" t="s">
        <v>935</v>
      </c>
      <c r="B91" t="s">
        <v>935</v>
      </c>
    </row>
    <row r="92" spans="1:2" x14ac:dyDescent="0.35">
      <c r="A92" t="s">
        <v>936</v>
      </c>
      <c r="B92" t="s">
        <v>935</v>
      </c>
    </row>
    <row r="93" spans="1:2" x14ac:dyDescent="0.35">
      <c r="A93" t="s">
        <v>535</v>
      </c>
      <c r="B93" t="s">
        <v>535</v>
      </c>
    </row>
    <row r="94" spans="1:2" x14ac:dyDescent="0.35">
      <c r="A94" t="s">
        <v>937</v>
      </c>
      <c r="B94" t="s">
        <v>535</v>
      </c>
    </row>
    <row r="95" spans="1:2" x14ac:dyDescent="0.35">
      <c r="A95" t="s">
        <v>938</v>
      </c>
      <c r="B95" t="s">
        <v>535</v>
      </c>
    </row>
    <row r="96" spans="1:2" x14ac:dyDescent="0.35">
      <c r="A96" t="s">
        <v>939</v>
      </c>
      <c r="B96" t="s">
        <v>535</v>
      </c>
    </row>
    <row r="97" spans="1:2" x14ac:dyDescent="0.35">
      <c r="A97" t="s">
        <v>940</v>
      </c>
      <c r="B97" t="s">
        <v>535</v>
      </c>
    </row>
    <row r="98" spans="1:2" x14ac:dyDescent="0.35">
      <c r="A98" t="s">
        <v>941</v>
      </c>
      <c r="B98" t="s">
        <v>535</v>
      </c>
    </row>
    <row r="99" spans="1:2" x14ac:dyDescent="0.35">
      <c r="A99" t="s">
        <v>942</v>
      </c>
      <c r="B99" t="s">
        <v>535</v>
      </c>
    </row>
    <row r="100" spans="1:2" x14ac:dyDescent="0.35">
      <c r="A100" t="s">
        <v>943</v>
      </c>
      <c r="B100" t="s">
        <v>535</v>
      </c>
    </row>
    <row r="101" spans="1:2" x14ac:dyDescent="0.35">
      <c r="A101" t="s">
        <v>944</v>
      </c>
      <c r="B101" t="s">
        <v>535</v>
      </c>
    </row>
    <row r="102" spans="1:2" x14ac:dyDescent="0.35">
      <c r="A102" t="s">
        <v>945</v>
      </c>
      <c r="B102" t="s">
        <v>535</v>
      </c>
    </row>
    <row r="103" spans="1:2" x14ac:dyDescent="0.35">
      <c r="A103" t="s">
        <v>946</v>
      </c>
      <c r="B103" t="s">
        <v>535</v>
      </c>
    </row>
    <row r="104" spans="1:2" x14ac:dyDescent="0.35">
      <c r="A104" t="s">
        <v>6</v>
      </c>
      <c r="B104" t="s">
        <v>6</v>
      </c>
    </row>
    <row r="105" spans="1:2" x14ac:dyDescent="0.35">
      <c r="A105" t="s">
        <v>183</v>
      </c>
      <c r="B105" t="s">
        <v>183</v>
      </c>
    </row>
    <row r="106" spans="1:2" x14ac:dyDescent="0.35">
      <c r="A106" t="s">
        <v>79</v>
      </c>
      <c r="B106" t="s">
        <v>79</v>
      </c>
    </row>
    <row r="107" spans="1:2" x14ac:dyDescent="0.35">
      <c r="A107" t="s">
        <v>947</v>
      </c>
      <c r="B107" t="s">
        <v>935</v>
      </c>
    </row>
    <row r="108" spans="1:2" x14ac:dyDescent="0.35">
      <c r="A108" t="s">
        <v>424</v>
      </c>
      <c r="B108" t="s">
        <v>424</v>
      </c>
    </row>
    <row r="109" spans="1:2" x14ac:dyDescent="0.35">
      <c r="A109" t="s">
        <v>155</v>
      </c>
      <c r="B109" t="s">
        <v>155</v>
      </c>
    </row>
    <row r="110" spans="1:2" x14ac:dyDescent="0.35">
      <c r="A110" t="s">
        <v>162</v>
      </c>
      <c r="B110" t="s">
        <v>162</v>
      </c>
    </row>
    <row r="111" spans="1:2" x14ac:dyDescent="0.35">
      <c r="A111" t="s">
        <v>254</v>
      </c>
      <c r="B111" t="s">
        <v>337</v>
      </c>
    </row>
    <row r="112" spans="1:2" x14ac:dyDescent="0.35">
      <c r="A112" t="s">
        <v>948</v>
      </c>
      <c r="B112" t="s">
        <v>337</v>
      </c>
    </row>
    <row r="113" spans="1:2" x14ac:dyDescent="0.35">
      <c r="A113" t="s">
        <v>949</v>
      </c>
      <c r="B113" t="s">
        <v>337</v>
      </c>
    </row>
    <row r="114" spans="1:2" x14ac:dyDescent="0.35">
      <c r="A114" t="s">
        <v>950</v>
      </c>
      <c r="B114" t="s">
        <v>337</v>
      </c>
    </row>
    <row r="115" spans="1:2" x14ac:dyDescent="0.35">
      <c r="A115" t="s">
        <v>951</v>
      </c>
      <c r="B115" t="s">
        <v>337</v>
      </c>
    </row>
    <row r="116" spans="1:2" x14ac:dyDescent="0.35">
      <c r="A116" t="s">
        <v>952</v>
      </c>
      <c r="B116" t="s">
        <v>337</v>
      </c>
    </row>
    <row r="117" spans="1:2" x14ac:dyDescent="0.35">
      <c r="A117" t="s">
        <v>953</v>
      </c>
      <c r="B117" t="s">
        <v>337</v>
      </c>
    </row>
    <row r="118" spans="1:2" x14ac:dyDescent="0.35">
      <c r="A118" t="s">
        <v>954</v>
      </c>
      <c r="B118" t="s">
        <v>337</v>
      </c>
    </row>
    <row r="119" spans="1:2" x14ac:dyDescent="0.35">
      <c r="A119" t="s">
        <v>270</v>
      </c>
      <c r="B119" t="s">
        <v>337</v>
      </c>
    </row>
    <row r="120" spans="1:2" x14ac:dyDescent="0.35">
      <c r="A120" t="s">
        <v>955</v>
      </c>
      <c r="B120" t="s">
        <v>337</v>
      </c>
    </row>
    <row r="121" spans="1:2" x14ac:dyDescent="0.35">
      <c r="A121" t="s">
        <v>263</v>
      </c>
      <c r="B121" t="s">
        <v>337</v>
      </c>
    </row>
    <row r="122" spans="1:2" x14ac:dyDescent="0.35">
      <c r="A122" t="s">
        <v>163</v>
      </c>
      <c r="B122" t="s">
        <v>337</v>
      </c>
    </row>
    <row r="123" spans="1:2" x14ac:dyDescent="0.35">
      <c r="A123" t="s">
        <v>956</v>
      </c>
      <c r="B123" t="s">
        <v>337</v>
      </c>
    </row>
    <row r="124" spans="1:2" x14ac:dyDescent="0.35">
      <c r="A124" t="s">
        <v>957</v>
      </c>
      <c r="B124" t="s">
        <v>337</v>
      </c>
    </row>
    <row r="125" spans="1:2" x14ac:dyDescent="0.35">
      <c r="A125" t="s">
        <v>958</v>
      </c>
      <c r="B125" t="s">
        <v>337</v>
      </c>
    </row>
    <row r="126" spans="1:2" x14ac:dyDescent="0.35">
      <c r="A126" t="s">
        <v>959</v>
      </c>
      <c r="B126" t="s">
        <v>337</v>
      </c>
    </row>
    <row r="127" spans="1:2" x14ac:dyDescent="0.35">
      <c r="A127" t="s">
        <v>179</v>
      </c>
      <c r="B127" t="s">
        <v>337</v>
      </c>
    </row>
    <row r="128" spans="1:2" x14ac:dyDescent="0.35">
      <c r="A128" t="s">
        <v>960</v>
      </c>
      <c r="B128" t="s">
        <v>337</v>
      </c>
    </row>
    <row r="129" spans="1:2" x14ac:dyDescent="0.35">
      <c r="A129" t="s">
        <v>247</v>
      </c>
      <c r="B129" t="s">
        <v>337</v>
      </c>
    </row>
    <row r="130" spans="1:2" x14ac:dyDescent="0.35">
      <c r="A130" t="s">
        <v>961</v>
      </c>
      <c r="B130" t="s">
        <v>337</v>
      </c>
    </row>
    <row r="131" spans="1:2" x14ac:dyDescent="0.35">
      <c r="A131" t="s">
        <v>962</v>
      </c>
      <c r="B131" t="s">
        <v>337</v>
      </c>
    </row>
    <row r="132" spans="1:2" x14ac:dyDescent="0.35">
      <c r="A132" t="s">
        <v>963</v>
      </c>
      <c r="B132" t="s">
        <v>337</v>
      </c>
    </row>
    <row r="133" spans="1:2" x14ac:dyDescent="0.35">
      <c r="A133" t="s">
        <v>243</v>
      </c>
      <c r="B133" t="s">
        <v>337</v>
      </c>
    </row>
    <row r="134" spans="1:2" x14ac:dyDescent="0.35">
      <c r="A134" t="s">
        <v>964</v>
      </c>
      <c r="B134" t="s">
        <v>337</v>
      </c>
    </row>
    <row r="135" spans="1:2" x14ac:dyDescent="0.35">
      <c r="A135" t="s">
        <v>965</v>
      </c>
      <c r="B135" t="s">
        <v>337</v>
      </c>
    </row>
    <row r="136" spans="1:2" x14ac:dyDescent="0.35">
      <c r="A136" t="s">
        <v>276</v>
      </c>
      <c r="B136" t="s">
        <v>337</v>
      </c>
    </row>
    <row r="137" spans="1:2" x14ac:dyDescent="0.35">
      <c r="A137" t="s">
        <v>966</v>
      </c>
      <c r="B137" t="s">
        <v>337</v>
      </c>
    </row>
    <row r="138" spans="1:2" x14ac:dyDescent="0.35">
      <c r="A138" t="s">
        <v>967</v>
      </c>
      <c r="B138" t="s">
        <v>337</v>
      </c>
    </row>
    <row r="139" spans="1:2" x14ac:dyDescent="0.35">
      <c r="A139" t="s">
        <v>274</v>
      </c>
      <c r="B139" t="s">
        <v>337</v>
      </c>
    </row>
    <row r="140" spans="1:2" x14ac:dyDescent="0.35">
      <c r="A140" t="s">
        <v>968</v>
      </c>
      <c r="B140" t="s">
        <v>337</v>
      </c>
    </row>
    <row r="141" spans="1:2" x14ac:dyDescent="0.35">
      <c r="A141" t="s">
        <v>164</v>
      </c>
      <c r="B141" t="s">
        <v>337</v>
      </c>
    </row>
    <row r="142" spans="1:2" x14ac:dyDescent="0.35">
      <c r="A142" t="s">
        <v>193</v>
      </c>
      <c r="B142" t="s">
        <v>193</v>
      </c>
    </row>
    <row r="143" spans="1:2" x14ac:dyDescent="0.35">
      <c r="A143" t="s">
        <v>469</v>
      </c>
      <c r="B143" t="s">
        <v>469</v>
      </c>
    </row>
    <row r="144" spans="1:2" x14ac:dyDescent="0.35">
      <c r="A144" t="s">
        <v>969</v>
      </c>
      <c r="B144" t="s">
        <v>507</v>
      </c>
    </row>
    <row r="145" spans="1:2" x14ac:dyDescent="0.35">
      <c r="A145" t="s">
        <v>970</v>
      </c>
      <c r="B145" t="s">
        <v>507</v>
      </c>
    </row>
    <row r="146" spans="1:2" x14ac:dyDescent="0.35">
      <c r="A146" t="s">
        <v>971</v>
      </c>
      <c r="B146" t="s">
        <v>507</v>
      </c>
    </row>
    <row r="147" spans="1:2" x14ac:dyDescent="0.35">
      <c r="A147" t="s">
        <v>972</v>
      </c>
      <c r="B147" t="s">
        <v>507</v>
      </c>
    </row>
    <row r="148" spans="1:2" x14ac:dyDescent="0.35">
      <c r="A148" t="s">
        <v>973</v>
      </c>
      <c r="B148" t="s">
        <v>507</v>
      </c>
    </row>
    <row r="149" spans="1:2" x14ac:dyDescent="0.35">
      <c r="A149" t="s">
        <v>974</v>
      </c>
      <c r="B149" t="s">
        <v>507</v>
      </c>
    </row>
    <row r="150" spans="1:2" x14ac:dyDescent="0.35">
      <c r="A150" t="s">
        <v>975</v>
      </c>
      <c r="B150" t="s">
        <v>507</v>
      </c>
    </row>
    <row r="151" spans="1:2" x14ac:dyDescent="0.35">
      <c r="A151" t="s">
        <v>976</v>
      </c>
      <c r="B151" t="s">
        <v>507</v>
      </c>
    </row>
    <row r="152" spans="1:2" x14ac:dyDescent="0.35">
      <c r="A152" t="s">
        <v>977</v>
      </c>
      <c r="B152" t="s">
        <v>507</v>
      </c>
    </row>
    <row r="153" spans="1:2" x14ac:dyDescent="0.35">
      <c r="A153" t="s">
        <v>978</v>
      </c>
      <c r="B153" t="s">
        <v>507</v>
      </c>
    </row>
    <row r="154" spans="1:2" x14ac:dyDescent="0.35">
      <c r="A154" t="s">
        <v>979</v>
      </c>
      <c r="B154" t="s">
        <v>507</v>
      </c>
    </row>
    <row r="155" spans="1:2" x14ac:dyDescent="0.35">
      <c r="A155" t="s">
        <v>980</v>
      </c>
      <c r="B155" t="s">
        <v>507</v>
      </c>
    </row>
    <row r="156" spans="1:2" x14ac:dyDescent="0.35">
      <c r="A156" t="s">
        <v>981</v>
      </c>
      <c r="B156" t="s">
        <v>507</v>
      </c>
    </row>
    <row r="157" spans="1:2" x14ac:dyDescent="0.35">
      <c r="A157" t="s">
        <v>982</v>
      </c>
      <c r="B157" t="s">
        <v>507</v>
      </c>
    </row>
    <row r="158" spans="1:2" x14ac:dyDescent="0.35">
      <c r="A158" t="s">
        <v>983</v>
      </c>
      <c r="B158" t="s">
        <v>507</v>
      </c>
    </row>
    <row r="159" spans="1:2" x14ac:dyDescent="0.35">
      <c r="A159" t="s">
        <v>984</v>
      </c>
      <c r="B159" t="s">
        <v>507</v>
      </c>
    </row>
    <row r="160" spans="1:2" x14ac:dyDescent="0.35">
      <c r="A160" t="s">
        <v>985</v>
      </c>
      <c r="B160" t="s">
        <v>507</v>
      </c>
    </row>
    <row r="161" spans="1:2" x14ac:dyDescent="0.35">
      <c r="A161" t="s">
        <v>986</v>
      </c>
      <c r="B161" t="s">
        <v>507</v>
      </c>
    </row>
    <row r="162" spans="1:2" x14ac:dyDescent="0.35">
      <c r="A162" t="s">
        <v>987</v>
      </c>
      <c r="B162" t="s">
        <v>507</v>
      </c>
    </row>
    <row r="163" spans="1:2" x14ac:dyDescent="0.35">
      <c r="A163" t="s">
        <v>988</v>
      </c>
      <c r="B163" t="s">
        <v>507</v>
      </c>
    </row>
    <row r="164" spans="1:2" x14ac:dyDescent="0.35">
      <c r="A164" t="s">
        <v>989</v>
      </c>
      <c r="B164" t="s">
        <v>507</v>
      </c>
    </row>
    <row r="165" spans="1:2" x14ac:dyDescent="0.35">
      <c r="A165" t="s">
        <v>990</v>
      </c>
      <c r="B165" t="s">
        <v>507</v>
      </c>
    </row>
    <row r="166" spans="1:2" x14ac:dyDescent="0.35">
      <c r="A166" t="s">
        <v>991</v>
      </c>
      <c r="B166" t="s">
        <v>507</v>
      </c>
    </row>
    <row r="167" spans="1:2" x14ac:dyDescent="0.35">
      <c r="A167" t="s">
        <v>992</v>
      </c>
      <c r="B167" t="s">
        <v>507</v>
      </c>
    </row>
    <row r="168" spans="1:2" x14ac:dyDescent="0.35">
      <c r="A168" t="s">
        <v>993</v>
      </c>
      <c r="B168" t="s">
        <v>507</v>
      </c>
    </row>
    <row r="169" spans="1:2" x14ac:dyDescent="0.35">
      <c r="A169" t="s">
        <v>994</v>
      </c>
      <c r="B169" t="s">
        <v>507</v>
      </c>
    </row>
    <row r="170" spans="1:2" x14ac:dyDescent="0.35">
      <c r="A170" t="s">
        <v>995</v>
      </c>
      <c r="B170" t="s">
        <v>507</v>
      </c>
    </row>
    <row r="171" spans="1:2" x14ac:dyDescent="0.35">
      <c r="A171" t="s">
        <v>996</v>
      </c>
      <c r="B171" t="s">
        <v>507</v>
      </c>
    </row>
    <row r="172" spans="1:2" x14ac:dyDescent="0.35">
      <c r="A172" t="s">
        <v>997</v>
      </c>
      <c r="B172" t="s">
        <v>507</v>
      </c>
    </row>
    <row r="173" spans="1:2" x14ac:dyDescent="0.35">
      <c r="A173" t="s">
        <v>998</v>
      </c>
      <c r="B173" t="s">
        <v>507</v>
      </c>
    </row>
    <row r="174" spans="1:2" x14ac:dyDescent="0.35">
      <c r="A174" t="s">
        <v>999</v>
      </c>
      <c r="B174" t="s">
        <v>507</v>
      </c>
    </row>
    <row r="175" spans="1:2" x14ac:dyDescent="0.35">
      <c r="A175" t="s">
        <v>1000</v>
      </c>
      <c r="B175" t="s">
        <v>507</v>
      </c>
    </row>
    <row r="176" spans="1:2" x14ac:dyDescent="0.35">
      <c r="A176" t="s">
        <v>1001</v>
      </c>
      <c r="B176" t="s">
        <v>507</v>
      </c>
    </row>
    <row r="177" spans="1:2" x14ac:dyDescent="0.35">
      <c r="A177" t="s">
        <v>1002</v>
      </c>
      <c r="B177" t="s">
        <v>507</v>
      </c>
    </row>
    <row r="178" spans="1:2" x14ac:dyDescent="0.35">
      <c r="A178" t="s">
        <v>1003</v>
      </c>
      <c r="B178" t="s">
        <v>507</v>
      </c>
    </row>
    <row r="179" spans="1:2" x14ac:dyDescent="0.35">
      <c r="A179" t="s">
        <v>1004</v>
      </c>
      <c r="B179" t="s">
        <v>507</v>
      </c>
    </row>
    <row r="180" spans="1:2" x14ac:dyDescent="0.35">
      <c r="A180" t="s">
        <v>1005</v>
      </c>
      <c r="B180" t="s">
        <v>507</v>
      </c>
    </row>
    <row r="181" spans="1:2" x14ac:dyDescent="0.35">
      <c r="A181" t="s">
        <v>1006</v>
      </c>
      <c r="B181" t="s">
        <v>507</v>
      </c>
    </row>
    <row r="182" spans="1:2" x14ac:dyDescent="0.35">
      <c r="A182" t="s">
        <v>1007</v>
      </c>
      <c r="B182" t="s">
        <v>507</v>
      </c>
    </row>
    <row r="183" spans="1:2" x14ac:dyDescent="0.35">
      <c r="A183" t="s">
        <v>1008</v>
      </c>
      <c r="B183" t="s">
        <v>507</v>
      </c>
    </row>
    <row r="184" spans="1:2" x14ac:dyDescent="0.35">
      <c r="A184" t="s">
        <v>1009</v>
      </c>
      <c r="B184" t="s">
        <v>507</v>
      </c>
    </row>
    <row r="185" spans="1:2" x14ac:dyDescent="0.35">
      <c r="A185" t="s">
        <v>1010</v>
      </c>
      <c r="B185" t="s">
        <v>507</v>
      </c>
    </row>
    <row r="186" spans="1:2" x14ac:dyDescent="0.35">
      <c r="A186" t="s">
        <v>1011</v>
      </c>
      <c r="B186" t="s">
        <v>507</v>
      </c>
    </row>
    <row r="187" spans="1:2" x14ac:dyDescent="0.35">
      <c r="A187" t="s">
        <v>753</v>
      </c>
      <c r="B187" t="s">
        <v>753</v>
      </c>
    </row>
    <row r="188" spans="1:2" x14ac:dyDescent="0.35">
      <c r="A188" t="s">
        <v>56</v>
      </c>
      <c r="B188" t="s">
        <v>56</v>
      </c>
    </row>
    <row r="189" spans="1:2" x14ac:dyDescent="0.35">
      <c r="A189" t="s">
        <v>482</v>
      </c>
      <c r="B189" t="s">
        <v>482</v>
      </c>
    </row>
    <row r="190" spans="1:2" x14ac:dyDescent="0.35">
      <c r="A190" t="s">
        <v>430</v>
      </c>
      <c r="B190" t="s">
        <v>430</v>
      </c>
    </row>
    <row r="191" spans="1:2" x14ac:dyDescent="0.35">
      <c r="A191" t="s">
        <v>1012</v>
      </c>
      <c r="B191" t="s">
        <v>430</v>
      </c>
    </row>
    <row r="192" spans="1:2" x14ac:dyDescent="0.35">
      <c r="A192" t="s">
        <v>1013</v>
      </c>
      <c r="B192" t="s">
        <v>430</v>
      </c>
    </row>
    <row r="193" spans="1:2" x14ac:dyDescent="0.35">
      <c r="A193" t="s">
        <v>1014</v>
      </c>
      <c r="B193" t="s">
        <v>430</v>
      </c>
    </row>
    <row r="194" spans="1:2" x14ac:dyDescent="0.35">
      <c r="A194" t="s">
        <v>1015</v>
      </c>
      <c r="B194" t="s">
        <v>430</v>
      </c>
    </row>
    <row r="195" spans="1:2" x14ac:dyDescent="0.35">
      <c r="A195" t="s">
        <v>1016</v>
      </c>
      <c r="B195" t="s">
        <v>430</v>
      </c>
    </row>
    <row r="196" spans="1:2" x14ac:dyDescent="0.35">
      <c r="A196" t="s">
        <v>1017</v>
      </c>
      <c r="B196" t="s">
        <v>430</v>
      </c>
    </row>
    <row r="197" spans="1:2" x14ac:dyDescent="0.35">
      <c r="A197" t="s">
        <v>1018</v>
      </c>
      <c r="B197" t="s">
        <v>430</v>
      </c>
    </row>
    <row r="198" spans="1:2" x14ac:dyDescent="0.35">
      <c r="A198" t="s">
        <v>1019</v>
      </c>
      <c r="B198" t="s">
        <v>430</v>
      </c>
    </row>
    <row r="199" spans="1:2" x14ac:dyDescent="0.35">
      <c r="A199" t="s">
        <v>1020</v>
      </c>
      <c r="B199" t="s">
        <v>935</v>
      </c>
    </row>
    <row r="200" spans="1:2" x14ac:dyDescent="0.35">
      <c r="A200" t="s">
        <v>93</v>
      </c>
      <c r="B200" t="s">
        <v>93</v>
      </c>
    </row>
    <row r="201" spans="1:2" x14ac:dyDescent="0.35">
      <c r="A201" t="s">
        <v>414</v>
      </c>
      <c r="B201" t="s">
        <v>414</v>
      </c>
    </row>
    <row r="202" spans="1:2" x14ac:dyDescent="0.35">
      <c r="A202" t="s">
        <v>666</v>
      </c>
      <c r="B202" t="s">
        <v>666</v>
      </c>
    </row>
    <row r="203" spans="1:2" x14ac:dyDescent="0.35">
      <c r="A203" t="s">
        <v>50</v>
      </c>
      <c r="B203" t="s">
        <v>50</v>
      </c>
    </row>
    <row r="204" spans="1:2" x14ac:dyDescent="0.35">
      <c r="A204" t="s">
        <v>70</v>
      </c>
      <c r="B204" t="s">
        <v>50</v>
      </c>
    </row>
    <row r="205" spans="1:2" x14ac:dyDescent="0.35">
      <c r="A205" t="s">
        <v>51</v>
      </c>
      <c r="B205" t="s">
        <v>51</v>
      </c>
    </row>
    <row r="206" spans="1:2" x14ac:dyDescent="0.35">
      <c r="A206" t="s">
        <v>138</v>
      </c>
      <c r="B206" t="s">
        <v>138</v>
      </c>
    </row>
    <row r="207" spans="1:2" x14ac:dyDescent="0.35">
      <c r="A207" t="s">
        <v>140</v>
      </c>
      <c r="B207" t="s">
        <v>140</v>
      </c>
    </row>
    <row r="208" spans="1:2" x14ac:dyDescent="0.35">
      <c r="A208" t="s">
        <v>191</v>
      </c>
      <c r="B208" t="s">
        <v>138</v>
      </c>
    </row>
    <row r="209" spans="1:2" x14ac:dyDescent="0.35">
      <c r="A209" t="s">
        <v>202</v>
      </c>
      <c r="B209" t="s">
        <v>138</v>
      </c>
    </row>
    <row r="210" spans="1:2" x14ac:dyDescent="0.35">
      <c r="A210" t="s">
        <v>278</v>
      </c>
      <c r="B210" t="s">
        <v>138</v>
      </c>
    </row>
    <row r="211" spans="1:2" x14ac:dyDescent="0.35">
      <c r="A211" t="s">
        <v>1021</v>
      </c>
      <c r="B211" t="s">
        <v>138</v>
      </c>
    </row>
    <row r="212" spans="1:2" x14ac:dyDescent="0.35">
      <c r="A212" t="s">
        <v>210</v>
      </c>
      <c r="B212" t="s">
        <v>138</v>
      </c>
    </row>
    <row r="213" spans="1:2" x14ac:dyDescent="0.35">
      <c r="A213" t="s">
        <v>227</v>
      </c>
      <c r="B213" t="s">
        <v>138</v>
      </c>
    </row>
    <row r="214" spans="1:2" x14ac:dyDescent="0.35">
      <c r="A214" t="s">
        <v>1022</v>
      </c>
      <c r="B214" t="s">
        <v>138</v>
      </c>
    </row>
    <row r="215" spans="1:2" x14ac:dyDescent="0.35">
      <c r="A215" t="s">
        <v>287</v>
      </c>
      <c r="B215" t="s">
        <v>287</v>
      </c>
    </row>
    <row r="216" spans="1:2" x14ac:dyDescent="0.35">
      <c r="A216" t="s">
        <v>240</v>
      </c>
      <c r="B216" t="s">
        <v>1815</v>
      </c>
    </row>
    <row r="217" spans="1:2" x14ac:dyDescent="0.35">
      <c r="A217" t="s">
        <v>197</v>
      </c>
      <c r="B217" t="s">
        <v>531</v>
      </c>
    </row>
    <row r="218" spans="1:2" x14ac:dyDescent="0.35">
      <c r="A218" t="s">
        <v>1023</v>
      </c>
      <c r="B218" t="s">
        <v>138</v>
      </c>
    </row>
    <row r="219" spans="1:2" x14ac:dyDescent="0.35">
      <c r="A219" t="s">
        <v>1024</v>
      </c>
      <c r="B219" t="s">
        <v>138</v>
      </c>
    </row>
    <row r="220" spans="1:2" x14ac:dyDescent="0.35">
      <c r="A220" t="s">
        <v>1025</v>
      </c>
      <c r="B220" t="s">
        <v>138</v>
      </c>
    </row>
    <row r="221" spans="1:2" x14ac:dyDescent="0.35">
      <c r="A221" t="s">
        <v>141</v>
      </c>
      <c r="B221" t="s">
        <v>141</v>
      </c>
    </row>
    <row r="222" spans="1:2" x14ac:dyDescent="0.35">
      <c r="A222" t="s">
        <v>139</v>
      </c>
      <c r="B222" t="s">
        <v>139</v>
      </c>
    </row>
    <row r="223" spans="1:2" x14ac:dyDescent="0.35">
      <c r="A223" t="s">
        <v>288</v>
      </c>
      <c r="B223" t="s">
        <v>138</v>
      </c>
    </row>
    <row r="224" spans="1:2" x14ac:dyDescent="0.35">
      <c r="A224" t="s">
        <v>187</v>
      </c>
      <c r="B224" t="s">
        <v>187</v>
      </c>
    </row>
    <row r="225" spans="1:2" x14ac:dyDescent="0.35">
      <c r="A225" t="s">
        <v>1026</v>
      </c>
      <c r="B225" t="s">
        <v>465</v>
      </c>
    </row>
    <row r="226" spans="1:2" x14ac:dyDescent="0.35">
      <c r="A226" t="s">
        <v>426</v>
      </c>
      <c r="B226" t="s">
        <v>426</v>
      </c>
    </row>
    <row r="227" spans="1:2" x14ac:dyDescent="0.35">
      <c r="A227" t="s">
        <v>180</v>
      </c>
      <c r="B227" t="s">
        <v>180</v>
      </c>
    </row>
    <row r="228" spans="1:2" x14ac:dyDescent="0.35">
      <c r="A228" t="s">
        <v>23</v>
      </c>
      <c r="B228" t="s">
        <v>23</v>
      </c>
    </row>
    <row r="229" spans="1:2" x14ac:dyDescent="0.35">
      <c r="A229" t="s">
        <v>283</v>
      </c>
      <c r="B229" t="s">
        <v>283</v>
      </c>
    </row>
    <row r="230" spans="1:2" x14ac:dyDescent="0.35">
      <c r="A230" t="s">
        <v>284</v>
      </c>
      <c r="B230" t="s">
        <v>283</v>
      </c>
    </row>
    <row r="231" spans="1:2" x14ac:dyDescent="0.35">
      <c r="A231" t="s">
        <v>1027</v>
      </c>
      <c r="B231" t="s">
        <v>283</v>
      </c>
    </row>
    <row r="232" spans="1:2" x14ac:dyDescent="0.35">
      <c r="A232" t="s">
        <v>1028</v>
      </c>
      <c r="B232" t="s">
        <v>283</v>
      </c>
    </row>
    <row r="233" spans="1:2" x14ac:dyDescent="0.35">
      <c r="A233" t="s">
        <v>2</v>
      </c>
      <c r="B233" t="s">
        <v>2</v>
      </c>
    </row>
    <row r="234" spans="1:2" x14ac:dyDescent="0.35">
      <c r="A234" t="s">
        <v>26</v>
      </c>
      <c r="B234" t="s">
        <v>26</v>
      </c>
    </row>
    <row r="235" spans="1:2" x14ac:dyDescent="0.35">
      <c r="A235" t="s">
        <v>82</v>
      </c>
      <c r="B235" t="s">
        <v>82</v>
      </c>
    </row>
    <row r="236" spans="1:2" x14ac:dyDescent="0.35">
      <c r="A236" t="s">
        <v>24</v>
      </c>
      <c r="B236" t="s">
        <v>24</v>
      </c>
    </row>
    <row r="237" spans="1:2" x14ac:dyDescent="0.35">
      <c r="A237" t="s">
        <v>222</v>
      </c>
      <c r="B237" t="s">
        <v>222</v>
      </c>
    </row>
    <row r="238" spans="1:2" x14ac:dyDescent="0.35">
      <c r="A238" t="s">
        <v>1029</v>
      </c>
      <c r="B238" t="s">
        <v>1029</v>
      </c>
    </row>
    <row r="239" spans="1:2" x14ac:dyDescent="0.35">
      <c r="A239" t="s">
        <v>1030</v>
      </c>
      <c r="B239" t="s">
        <v>1029</v>
      </c>
    </row>
    <row r="240" spans="1:2" x14ac:dyDescent="0.35">
      <c r="A240" t="s">
        <v>1031</v>
      </c>
      <c r="B240" t="s">
        <v>1029</v>
      </c>
    </row>
    <row r="241" spans="1:2" x14ac:dyDescent="0.35">
      <c r="A241" t="s">
        <v>146</v>
      </c>
      <c r="B241" t="s">
        <v>146</v>
      </c>
    </row>
    <row r="242" spans="1:2" x14ac:dyDescent="0.35">
      <c r="A242" t="s">
        <v>749</v>
      </c>
      <c r="B242" t="s">
        <v>749</v>
      </c>
    </row>
    <row r="243" spans="1:2" x14ac:dyDescent="0.35">
      <c r="A243" t="s">
        <v>89</v>
      </c>
      <c r="B243" t="s">
        <v>89</v>
      </c>
    </row>
    <row r="244" spans="1:2" x14ac:dyDescent="0.35">
      <c r="A244" t="s">
        <v>123</v>
      </c>
      <c r="B244" t="s">
        <v>123</v>
      </c>
    </row>
    <row r="245" spans="1:2" x14ac:dyDescent="0.35">
      <c r="A245" t="s">
        <v>455</v>
      </c>
      <c r="B245" t="s">
        <v>455</v>
      </c>
    </row>
    <row r="246" spans="1:2" x14ac:dyDescent="0.35">
      <c r="A246" t="s">
        <v>1032</v>
      </c>
      <c r="B246" t="s">
        <v>455</v>
      </c>
    </row>
    <row r="247" spans="1:2" x14ac:dyDescent="0.35">
      <c r="A247" t="s">
        <v>1033</v>
      </c>
      <c r="B247" t="s">
        <v>455</v>
      </c>
    </row>
    <row r="248" spans="1:2" x14ac:dyDescent="0.35">
      <c r="A248" t="s">
        <v>1034</v>
      </c>
      <c r="B248" t="s">
        <v>455</v>
      </c>
    </row>
    <row r="249" spans="1:2" x14ac:dyDescent="0.35">
      <c r="A249" t="s">
        <v>1035</v>
      </c>
      <c r="B249" t="s">
        <v>455</v>
      </c>
    </row>
    <row r="250" spans="1:2" x14ac:dyDescent="0.35">
      <c r="A250" t="s">
        <v>1036</v>
      </c>
      <c r="B250" t="s">
        <v>455</v>
      </c>
    </row>
    <row r="251" spans="1:2" x14ac:dyDescent="0.35">
      <c r="A251" t="s">
        <v>1037</v>
      </c>
      <c r="B251" t="s">
        <v>455</v>
      </c>
    </row>
    <row r="252" spans="1:2" x14ac:dyDescent="0.35">
      <c r="A252" t="s">
        <v>1038</v>
      </c>
      <c r="B252" t="s">
        <v>455</v>
      </c>
    </row>
    <row r="253" spans="1:2" x14ac:dyDescent="0.35">
      <c r="A253" t="s">
        <v>175</v>
      </c>
      <c r="B253" t="s">
        <v>475</v>
      </c>
    </row>
    <row r="254" spans="1:2" x14ac:dyDescent="0.35">
      <c r="A254" t="s">
        <v>1039</v>
      </c>
      <c r="B254" t="s">
        <v>475</v>
      </c>
    </row>
    <row r="255" spans="1:2" x14ac:dyDescent="0.35">
      <c r="A255" t="s">
        <v>1040</v>
      </c>
      <c r="B255" t="s">
        <v>475</v>
      </c>
    </row>
    <row r="256" spans="1:2" x14ac:dyDescent="0.35">
      <c r="A256" t="s">
        <v>1041</v>
      </c>
      <c r="B256" t="s">
        <v>475</v>
      </c>
    </row>
    <row r="257" spans="1:2" x14ac:dyDescent="0.35">
      <c r="A257" t="s">
        <v>1042</v>
      </c>
      <c r="B257" t="s">
        <v>475</v>
      </c>
    </row>
    <row r="258" spans="1:2" x14ac:dyDescent="0.35">
      <c r="A258" t="s">
        <v>1043</v>
      </c>
      <c r="B258" t="s">
        <v>475</v>
      </c>
    </row>
    <row r="259" spans="1:2" x14ac:dyDescent="0.35">
      <c r="A259" t="s">
        <v>1044</v>
      </c>
      <c r="B259" t="s">
        <v>475</v>
      </c>
    </row>
    <row r="260" spans="1:2" x14ac:dyDescent="0.35">
      <c r="A260" t="s">
        <v>1045</v>
      </c>
      <c r="B260" t="s">
        <v>475</v>
      </c>
    </row>
    <row r="261" spans="1:2" x14ac:dyDescent="0.35">
      <c r="A261" t="s">
        <v>1046</v>
      </c>
      <c r="B261" t="s">
        <v>475</v>
      </c>
    </row>
    <row r="262" spans="1:2" x14ac:dyDescent="0.35">
      <c r="A262" t="s">
        <v>1047</v>
      </c>
      <c r="B262" t="s">
        <v>475</v>
      </c>
    </row>
    <row r="263" spans="1:2" x14ac:dyDescent="0.35">
      <c r="A263" t="s">
        <v>1048</v>
      </c>
      <c r="B263" t="s">
        <v>475</v>
      </c>
    </row>
    <row r="264" spans="1:2" x14ac:dyDescent="0.35">
      <c r="A264" t="s">
        <v>1049</v>
      </c>
      <c r="B264" t="s">
        <v>475</v>
      </c>
    </row>
    <row r="265" spans="1:2" x14ac:dyDescent="0.35">
      <c r="A265" t="s">
        <v>1050</v>
      </c>
      <c r="B265" t="s">
        <v>475</v>
      </c>
    </row>
    <row r="266" spans="1:2" x14ac:dyDescent="0.35">
      <c r="A266" t="s">
        <v>1051</v>
      </c>
      <c r="B266" t="s">
        <v>475</v>
      </c>
    </row>
    <row r="267" spans="1:2" x14ac:dyDescent="0.35">
      <c r="A267" t="s">
        <v>1052</v>
      </c>
      <c r="B267" t="s">
        <v>475</v>
      </c>
    </row>
    <row r="268" spans="1:2" x14ac:dyDescent="0.35">
      <c r="A268" t="s">
        <v>1053</v>
      </c>
      <c r="B268" t="s">
        <v>475</v>
      </c>
    </row>
    <row r="269" spans="1:2" x14ac:dyDescent="0.35">
      <c r="A269" t="s">
        <v>1054</v>
      </c>
      <c r="B269" t="s">
        <v>475</v>
      </c>
    </row>
    <row r="270" spans="1:2" x14ac:dyDescent="0.35">
      <c r="A270" t="s">
        <v>1055</v>
      </c>
      <c r="B270" t="s">
        <v>475</v>
      </c>
    </row>
    <row r="271" spans="1:2" x14ac:dyDescent="0.35">
      <c r="A271" t="s">
        <v>1056</v>
      </c>
      <c r="B271" t="s">
        <v>475</v>
      </c>
    </row>
    <row r="272" spans="1:2" x14ac:dyDescent="0.35">
      <c r="A272" t="s">
        <v>1057</v>
      </c>
      <c r="B272" t="s">
        <v>475</v>
      </c>
    </row>
    <row r="273" spans="1:2" x14ac:dyDescent="0.35">
      <c r="A273" t="s">
        <v>1058</v>
      </c>
      <c r="B273" t="s">
        <v>475</v>
      </c>
    </row>
    <row r="274" spans="1:2" x14ac:dyDescent="0.35">
      <c r="A274" t="s">
        <v>1059</v>
      </c>
      <c r="B274" t="s">
        <v>475</v>
      </c>
    </row>
    <row r="275" spans="1:2" x14ac:dyDescent="0.35">
      <c r="A275" t="s">
        <v>1060</v>
      </c>
      <c r="B275" t="s">
        <v>475</v>
      </c>
    </row>
    <row r="276" spans="1:2" x14ac:dyDescent="0.35">
      <c r="A276" t="s">
        <v>1061</v>
      </c>
      <c r="B276" t="s">
        <v>475</v>
      </c>
    </row>
    <row r="277" spans="1:2" x14ac:dyDescent="0.35">
      <c r="A277" t="s">
        <v>1062</v>
      </c>
      <c r="B277" t="s">
        <v>475</v>
      </c>
    </row>
    <row r="278" spans="1:2" x14ac:dyDescent="0.35">
      <c r="A278" t="s">
        <v>1063</v>
      </c>
      <c r="B278" t="s">
        <v>475</v>
      </c>
    </row>
    <row r="279" spans="1:2" x14ac:dyDescent="0.35">
      <c r="A279" t="s">
        <v>1064</v>
      </c>
      <c r="B279" t="s">
        <v>475</v>
      </c>
    </row>
    <row r="280" spans="1:2" x14ac:dyDescent="0.35">
      <c r="A280" t="s">
        <v>1065</v>
      </c>
      <c r="B280" t="s">
        <v>475</v>
      </c>
    </row>
    <row r="281" spans="1:2" x14ac:dyDescent="0.35">
      <c r="A281" t="s">
        <v>1066</v>
      </c>
      <c r="B281" t="s">
        <v>475</v>
      </c>
    </row>
    <row r="282" spans="1:2" x14ac:dyDescent="0.35">
      <c r="A282" t="s">
        <v>1067</v>
      </c>
      <c r="B282" t="s">
        <v>475</v>
      </c>
    </row>
    <row r="283" spans="1:2" x14ac:dyDescent="0.35">
      <c r="A283" t="s">
        <v>1068</v>
      </c>
      <c r="B283" t="s">
        <v>475</v>
      </c>
    </row>
    <row r="284" spans="1:2" x14ac:dyDescent="0.35">
      <c r="A284" t="s">
        <v>1069</v>
      </c>
      <c r="B284" t="s">
        <v>475</v>
      </c>
    </row>
    <row r="285" spans="1:2" x14ac:dyDescent="0.35">
      <c r="A285" t="s">
        <v>1070</v>
      </c>
      <c r="B285" t="s">
        <v>475</v>
      </c>
    </row>
    <row r="286" spans="1:2" x14ac:dyDescent="0.35">
      <c r="A286" t="s">
        <v>1071</v>
      </c>
      <c r="B286" t="s">
        <v>475</v>
      </c>
    </row>
    <row r="287" spans="1:2" x14ac:dyDescent="0.35">
      <c r="A287" t="s">
        <v>1072</v>
      </c>
      <c r="B287" t="s">
        <v>475</v>
      </c>
    </row>
    <row r="288" spans="1:2" x14ac:dyDescent="0.35">
      <c r="A288" t="s">
        <v>295</v>
      </c>
      <c r="B288" t="s">
        <v>475</v>
      </c>
    </row>
    <row r="289" spans="1:2" x14ac:dyDescent="0.35">
      <c r="A289" t="s">
        <v>1073</v>
      </c>
      <c r="B289" t="s">
        <v>475</v>
      </c>
    </row>
    <row r="290" spans="1:2" x14ac:dyDescent="0.35">
      <c r="A290" t="s">
        <v>1074</v>
      </c>
      <c r="B290" t="s">
        <v>475</v>
      </c>
    </row>
    <row r="291" spans="1:2" x14ac:dyDescent="0.35">
      <c r="A291" t="s">
        <v>1075</v>
      </c>
      <c r="B291" t="s">
        <v>475</v>
      </c>
    </row>
    <row r="292" spans="1:2" x14ac:dyDescent="0.35">
      <c r="A292" t="s">
        <v>1076</v>
      </c>
      <c r="B292" t="s">
        <v>475</v>
      </c>
    </row>
    <row r="293" spans="1:2" x14ac:dyDescent="0.35">
      <c r="A293" t="s">
        <v>1077</v>
      </c>
      <c r="B293" t="s">
        <v>475</v>
      </c>
    </row>
    <row r="294" spans="1:2" x14ac:dyDescent="0.35">
      <c r="A294" t="s">
        <v>451</v>
      </c>
      <c r="B294" t="s">
        <v>451</v>
      </c>
    </row>
    <row r="295" spans="1:2" x14ac:dyDescent="0.35">
      <c r="A295" t="s">
        <v>434</v>
      </c>
      <c r="B295" t="s">
        <v>434</v>
      </c>
    </row>
    <row r="296" spans="1:2" x14ac:dyDescent="0.35">
      <c r="A296" t="s">
        <v>441</v>
      </c>
      <c r="B296" t="s">
        <v>441</v>
      </c>
    </row>
    <row r="297" spans="1:2" x14ac:dyDescent="0.35">
      <c r="A297" t="s">
        <v>1078</v>
      </c>
      <c r="B297" t="s">
        <v>418</v>
      </c>
    </row>
    <row r="298" spans="1:2" x14ac:dyDescent="0.35">
      <c r="A298" t="s">
        <v>1079</v>
      </c>
      <c r="B298" t="s">
        <v>418</v>
      </c>
    </row>
    <row r="299" spans="1:2" x14ac:dyDescent="0.35">
      <c r="A299" t="s">
        <v>1080</v>
      </c>
      <c r="B299" t="s">
        <v>418</v>
      </c>
    </row>
    <row r="300" spans="1:2" x14ac:dyDescent="0.35">
      <c r="A300" t="s">
        <v>1081</v>
      </c>
      <c r="B300" t="s">
        <v>418</v>
      </c>
    </row>
    <row r="301" spans="1:2" x14ac:dyDescent="0.35">
      <c r="A301" t="s">
        <v>1082</v>
      </c>
      <c r="B301" t="s">
        <v>418</v>
      </c>
    </row>
    <row r="302" spans="1:2" x14ac:dyDescent="0.35">
      <c r="A302" t="s">
        <v>1083</v>
      </c>
      <c r="B302" t="s">
        <v>418</v>
      </c>
    </row>
    <row r="303" spans="1:2" x14ac:dyDescent="0.35">
      <c r="A303" t="s">
        <v>1084</v>
      </c>
      <c r="B303" t="s">
        <v>418</v>
      </c>
    </row>
    <row r="304" spans="1:2" x14ac:dyDescent="0.35">
      <c r="A304" t="s">
        <v>1085</v>
      </c>
      <c r="B304" t="s">
        <v>418</v>
      </c>
    </row>
    <row r="305" spans="1:2" x14ac:dyDescent="0.35">
      <c r="A305" t="s">
        <v>1086</v>
      </c>
      <c r="B305" t="s">
        <v>418</v>
      </c>
    </row>
    <row r="306" spans="1:2" x14ac:dyDescent="0.35">
      <c r="A306" t="s">
        <v>1087</v>
      </c>
      <c r="B306" t="s">
        <v>418</v>
      </c>
    </row>
    <row r="307" spans="1:2" x14ac:dyDescent="0.35">
      <c r="A307" t="s">
        <v>1088</v>
      </c>
      <c r="B307" t="s">
        <v>418</v>
      </c>
    </row>
    <row r="308" spans="1:2" x14ac:dyDescent="0.35">
      <c r="A308" t="s">
        <v>1089</v>
      </c>
      <c r="B308" t="s">
        <v>418</v>
      </c>
    </row>
    <row r="309" spans="1:2" x14ac:dyDescent="0.35">
      <c r="A309" t="s">
        <v>1090</v>
      </c>
      <c r="B309" t="s">
        <v>418</v>
      </c>
    </row>
    <row r="310" spans="1:2" x14ac:dyDescent="0.35">
      <c r="A310" t="s">
        <v>1091</v>
      </c>
      <c r="B310" t="s">
        <v>418</v>
      </c>
    </row>
    <row r="311" spans="1:2" x14ac:dyDescent="0.35">
      <c r="A311" t="s">
        <v>1092</v>
      </c>
      <c r="B311" t="s">
        <v>418</v>
      </c>
    </row>
    <row r="312" spans="1:2" x14ac:dyDescent="0.35">
      <c r="A312" t="s">
        <v>1093</v>
      </c>
      <c r="B312" t="s">
        <v>418</v>
      </c>
    </row>
    <row r="313" spans="1:2" x14ac:dyDescent="0.35">
      <c r="A313" t="s">
        <v>1094</v>
      </c>
      <c r="B313" t="s">
        <v>418</v>
      </c>
    </row>
    <row r="314" spans="1:2" x14ac:dyDescent="0.35">
      <c r="A314" t="s">
        <v>1095</v>
      </c>
      <c r="B314" t="s">
        <v>418</v>
      </c>
    </row>
    <row r="315" spans="1:2" x14ac:dyDescent="0.35">
      <c r="A315" t="s">
        <v>1096</v>
      </c>
      <c r="B315" t="s">
        <v>418</v>
      </c>
    </row>
    <row r="316" spans="1:2" x14ac:dyDescent="0.35">
      <c r="A316" t="s">
        <v>1097</v>
      </c>
      <c r="B316" t="s">
        <v>418</v>
      </c>
    </row>
    <row r="317" spans="1:2" x14ac:dyDescent="0.35">
      <c r="A317" t="s">
        <v>1098</v>
      </c>
      <c r="B317" t="s">
        <v>418</v>
      </c>
    </row>
    <row r="318" spans="1:2" x14ac:dyDescent="0.35">
      <c r="A318" t="s">
        <v>1099</v>
      </c>
      <c r="B318" t="s">
        <v>418</v>
      </c>
    </row>
    <row r="319" spans="1:2" x14ac:dyDescent="0.35">
      <c r="A319" t="s">
        <v>1100</v>
      </c>
      <c r="B319" t="s">
        <v>418</v>
      </c>
    </row>
    <row r="320" spans="1:2" x14ac:dyDescent="0.35">
      <c r="A320" t="s">
        <v>1101</v>
      </c>
      <c r="B320" t="s">
        <v>418</v>
      </c>
    </row>
    <row r="321" spans="1:2" x14ac:dyDescent="0.35">
      <c r="A321" t="s">
        <v>1102</v>
      </c>
      <c r="B321" t="s">
        <v>418</v>
      </c>
    </row>
    <row r="322" spans="1:2" x14ac:dyDescent="0.35">
      <c r="A322" t="s">
        <v>573</v>
      </c>
      <c r="B322" t="s">
        <v>573</v>
      </c>
    </row>
    <row r="323" spans="1:2" x14ac:dyDescent="0.35">
      <c r="A323" t="s">
        <v>416</v>
      </c>
      <c r="B323" t="s">
        <v>416</v>
      </c>
    </row>
    <row r="324" spans="1:2" x14ac:dyDescent="0.35">
      <c r="A324" t="s">
        <v>410</v>
      </c>
      <c r="B324" t="s">
        <v>410</v>
      </c>
    </row>
    <row r="325" spans="1:2" x14ac:dyDescent="0.35">
      <c r="A325" t="s">
        <v>406</v>
      </c>
      <c r="B325" t="s">
        <v>406</v>
      </c>
    </row>
    <row r="326" spans="1:2" x14ac:dyDescent="0.35">
      <c r="A326" t="s">
        <v>403</v>
      </c>
      <c r="B326" t="s">
        <v>403</v>
      </c>
    </row>
    <row r="327" spans="1:2" x14ac:dyDescent="0.35">
      <c r="A327" t="s">
        <v>1103</v>
      </c>
      <c r="B327" t="s">
        <v>408</v>
      </c>
    </row>
    <row r="328" spans="1:2" x14ac:dyDescent="0.35">
      <c r="A328" t="s">
        <v>1104</v>
      </c>
      <c r="B328" t="s">
        <v>408</v>
      </c>
    </row>
    <row r="329" spans="1:2" x14ac:dyDescent="0.35">
      <c r="A329" t="s">
        <v>1105</v>
      </c>
      <c r="B329" t="s">
        <v>408</v>
      </c>
    </row>
    <row r="330" spans="1:2" x14ac:dyDescent="0.35">
      <c r="A330" t="s">
        <v>1106</v>
      </c>
      <c r="B330" t="s">
        <v>408</v>
      </c>
    </row>
    <row r="331" spans="1:2" x14ac:dyDescent="0.35">
      <c r="A331" t="s">
        <v>1107</v>
      </c>
      <c r="B331" t="s">
        <v>408</v>
      </c>
    </row>
    <row r="332" spans="1:2" x14ac:dyDescent="0.35">
      <c r="A332" t="s">
        <v>1108</v>
      </c>
      <c r="B332" t="s">
        <v>408</v>
      </c>
    </row>
    <row r="333" spans="1:2" x14ac:dyDescent="0.35">
      <c r="A333" t="s">
        <v>1109</v>
      </c>
      <c r="B333" t="s">
        <v>408</v>
      </c>
    </row>
    <row r="334" spans="1:2" x14ac:dyDescent="0.35">
      <c r="A334" t="s">
        <v>1110</v>
      </c>
      <c r="B334" t="s">
        <v>408</v>
      </c>
    </row>
    <row r="335" spans="1:2" x14ac:dyDescent="0.35">
      <c r="A335" t="s">
        <v>1111</v>
      </c>
      <c r="B335" t="s">
        <v>408</v>
      </c>
    </row>
    <row r="336" spans="1:2" x14ac:dyDescent="0.35">
      <c r="A336" t="s">
        <v>1112</v>
      </c>
      <c r="B336" t="s">
        <v>408</v>
      </c>
    </row>
    <row r="337" spans="1:2" x14ac:dyDescent="0.35">
      <c r="A337" t="s">
        <v>1113</v>
      </c>
      <c r="B337" t="s">
        <v>408</v>
      </c>
    </row>
    <row r="338" spans="1:2" x14ac:dyDescent="0.35">
      <c r="A338" t="s">
        <v>1114</v>
      </c>
      <c r="B338" t="s">
        <v>408</v>
      </c>
    </row>
    <row r="339" spans="1:2" x14ac:dyDescent="0.35">
      <c r="A339" t="s">
        <v>1115</v>
      </c>
      <c r="B339" t="s">
        <v>408</v>
      </c>
    </row>
    <row r="340" spans="1:2" x14ac:dyDescent="0.35">
      <c r="A340" t="s">
        <v>1116</v>
      </c>
      <c r="B340" t="s">
        <v>408</v>
      </c>
    </row>
    <row r="341" spans="1:2" x14ac:dyDescent="0.35">
      <c r="A341" t="s">
        <v>1117</v>
      </c>
      <c r="B341" t="s">
        <v>408</v>
      </c>
    </row>
    <row r="342" spans="1:2" x14ac:dyDescent="0.35">
      <c r="A342" t="s">
        <v>1118</v>
      </c>
      <c r="B342" t="s">
        <v>408</v>
      </c>
    </row>
    <row r="343" spans="1:2" x14ac:dyDescent="0.35">
      <c r="A343" t="s">
        <v>1119</v>
      </c>
      <c r="B343" t="s">
        <v>408</v>
      </c>
    </row>
    <row r="344" spans="1:2" x14ac:dyDescent="0.35">
      <c r="A344" t="s">
        <v>1120</v>
      </c>
      <c r="B344" t="s">
        <v>408</v>
      </c>
    </row>
    <row r="345" spans="1:2" x14ac:dyDescent="0.35">
      <c r="A345" t="s">
        <v>1121</v>
      </c>
      <c r="B345" t="s">
        <v>408</v>
      </c>
    </row>
    <row r="346" spans="1:2" x14ac:dyDescent="0.35">
      <c r="A346" t="s">
        <v>1122</v>
      </c>
      <c r="B346" t="s">
        <v>408</v>
      </c>
    </row>
    <row r="347" spans="1:2" x14ac:dyDescent="0.35">
      <c r="A347" t="s">
        <v>1123</v>
      </c>
      <c r="B347" t="s">
        <v>408</v>
      </c>
    </row>
    <row r="348" spans="1:2" x14ac:dyDescent="0.35">
      <c r="A348" t="s">
        <v>1124</v>
      </c>
      <c r="B348" t="s">
        <v>408</v>
      </c>
    </row>
    <row r="349" spans="1:2" x14ac:dyDescent="0.35">
      <c r="A349" t="s">
        <v>1125</v>
      </c>
      <c r="B349" t="s">
        <v>408</v>
      </c>
    </row>
    <row r="350" spans="1:2" x14ac:dyDescent="0.35">
      <c r="A350" t="s">
        <v>1126</v>
      </c>
      <c r="B350" t="s">
        <v>408</v>
      </c>
    </row>
    <row r="351" spans="1:2" x14ac:dyDescent="0.35">
      <c r="A351" t="s">
        <v>1127</v>
      </c>
      <c r="B351" t="s">
        <v>408</v>
      </c>
    </row>
    <row r="352" spans="1:2" x14ac:dyDescent="0.35">
      <c r="A352" t="s">
        <v>1128</v>
      </c>
      <c r="B352" t="s">
        <v>408</v>
      </c>
    </row>
    <row r="353" spans="1:2" x14ac:dyDescent="0.35">
      <c r="A353" t="s">
        <v>1129</v>
      </c>
      <c r="B353" t="s">
        <v>408</v>
      </c>
    </row>
    <row r="354" spans="1:2" x14ac:dyDescent="0.35">
      <c r="A354" t="s">
        <v>1130</v>
      </c>
      <c r="B354" t="s">
        <v>408</v>
      </c>
    </row>
    <row r="355" spans="1:2" x14ac:dyDescent="0.35">
      <c r="A355" t="s">
        <v>1131</v>
      </c>
      <c r="B355" t="s">
        <v>408</v>
      </c>
    </row>
    <row r="356" spans="1:2" x14ac:dyDescent="0.35">
      <c r="A356" t="s">
        <v>1132</v>
      </c>
      <c r="B356" t="s">
        <v>408</v>
      </c>
    </row>
    <row r="357" spans="1:2" x14ac:dyDescent="0.35">
      <c r="A357" t="s">
        <v>1133</v>
      </c>
      <c r="B357" t="s">
        <v>408</v>
      </c>
    </row>
    <row r="358" spans="1:2" x14ac:dyDescent="0.35">
      <c r="A358" t="s">
        <v>1134</v>
      </c>
      <c r="B358" t="s">
        <v>408</v>
      </c>
    </row>
    <row r="359" spans="1:2" x14ac:dyDescent="0.35">
      <c r="A359" t="s">
        <v>1135</v>
      </c>
      <c r="B359" t="s">
        <v>408</v>
      </c>
    </row>
    <row r="360" spans="1:2" x14ac:dyDescent="0.35">
      <c r="A360" t="s">
        <v>1136</v>
      </c>
      <c r="B360" t="s">
        <v>408</v>
      </c>
    </row>
    <row r="361" spans="1:2" x14ac:dyDescent="0.35">
      <c r="A361" t="s">
        <v>1137</v>
      </c>
      <c r="B361" t="s">
        <v>408</v>
      </c>
    </row>
    <row r="362" spans="1:2" x14ac:dyDescent="0.35">
      <c r="A362" t="s">
        <v>1138</v>
      </c>
      <c r="B362" t="s">
        <v>408</v>
      </c>
    </row>
    <row r="363" spans="1:2" x14ac:dyDescent="0.35">
      <c r="A363" t="s">
        <v>1139</v>
      </c>
      <c r="B363" t="s">
        <v>408</v>
      </c>
    </row>
    <row r="364" spans="1:2" x14ac:dyDescent="0.35">
      <c r="A364" t="s">
        <v>1140</v>
      </c>
      <c r="B364" t="s">
        <v>408</v>
      </c>
    </row>
    <row r="365" spans="1:2" x14ac:dyDescent="0.35">
      <c r="A365" t="s">
        <v>1141</v>
      </c>
      <c r="B365" t="s">
        <v>408</v>
      </c>
    </row>
    <row r="366" spans="1:2" x14ac:dyDescent="0.35">
      <c r="A366" t="s">
        <v>1142</v>
      </c>
      <c r="B366" t="s">
        <v>408</v>
      </c>
    </row>
    <row r="367" spans="1:2" x14ac:dyDescent="0.35">
      <c r="A367" t="s">
        <v>1143</v>
      </c>
      <c r="B367" t="s">
        <v>408</v>
      </c>
    </row>
    <row r="368" spans="1:2" x14ac:dyDescent="0.35">
      <c r="A368" t="s">
        <v>1144</v>
      </c>
      <c r="B368" t="s">
        <v>408</v>
      </c>
    </row>
    <row r="369" spans="1:2" x14ac:dyDescent="0.35">
      <c r="A369" t="s">
        <v>1145</v>
      </c>
      <c r="B369" t="s">
        <v>408</v>
      </c>
    </row>
    <row r="370" spans="1:2" x14ac:dyDescent="0.35">
      <c r="A370" t="s">
        <v>1146</v>
      </c>
      <c r="B370" t="s">
        <v>408</v>
      </c>
    </row>
    <row r="371" spans="1:2" x14ac:dyDescent="0.35">
      <c r="A371" t="s">
        <v>1147</v>
      </c>
      <c r="B371" t="s">
        <v>408</v>
      </c>
    </row>
    <row r="372" spans="1:2" x14ac:dyDescent="0.35">
      <c r="A372" t="s">
        <v>1148</v>
      </c>
      <c r="B372" t="s">
        <v>408</v>
      </c>
    </row>
    <row r="373" spans="1:2" x14ac:dyDescent="0.35">
      <c r="A373" t="s">
        <v>1149</v>
      </c>
      <c r="B373" t="s">
        <v>408</v>
      </c>
    </row>
    <row r="374" spans="1:2" x14ac:dyDescent="0.35">
      <c r="A374" t="s">
        <v>1150</v>
      </c>
      <c r="B374" t="s">
        <v>408</v>
      </c>
    </row>
    <row r="375" spans="1:2" x14ac:dyDescent="0.35">
      <c r="A375" t="s">
        <v>1151</v>
      </c>
      <c r="B375" t="s">
        <v>408</v>
      </c>
    </row>
    <row r="376" spans="1:2" x14ac:dyDescent="0.35">
      <c r="A376" t="s">
        <v>1152</v>
      </c>
      <c r="B376" t="s">
        <v>408</v>
      </c>
    </row>
    <row r="377" spans="1:2" x14ac:dyDescent="0.35">
      <c r="A377" t="s">
        <v>1153</v>
      </c>
      <c r="B377" t="s">
        <v>408</v>
      </c>
    </row>
    <row r="378" spans="1:2" x14ac:dyDescent="0.35">
      <c r="A378" t="s">
        <v>1154</v>
      </c>
      <c r="B378" t="s">
        <v>408</v>
      </c>
    </row>
    <row r="379" spans="1:2" x14ac:dyDescent="0.35">
      <c r="A379" t="s">
        <v>1155</v>
      </c>
      <c r="B379" t="s">
        <v>408</v>
      </c>
    </row>
    <row r="380" spans="1:2" x14ac:dyDescent="0.35">
      <c r="A380" t="s">
        <v>1156</v>
      </c>
      <c r="B380" t="s">
        <v>408</v>
      </c>
    </row>
    <row r="381" spans="1:2" x14ac:dyDescent="0.35">
      <c r="A381" t="s">
        <v>1157</v>
      </c>
      <c r="B381" t="s">
        <v>408</v>
      </c>
    </row>
    <row r="382" spans="1:2" x14ac:dyDescent="0.35">
      <c r="A382" t="s">
        <v>1158</v>
      </c>
      <c r="B382" t="s">
        <v>408</v>
      </c>
    </row>
    <row r="383" spans="1:2" x14ac:dyDescent="0.35">
      <c r="A383" t="s">
        <v>614</v>
      </c>
      <c r="B383" t="s">
        <v>614</v>
      </c>
    </row>
    <row r="384" spans="1:2" x14ac:dyDescent="0.35">
      <c r="A384" t="s">
        <v>772</v>
      </c>
      <c r="B384" t="s">
        <v>772</v>
      </c>
    </row>
    <row r="385" spans="1:2" x14ac:dyDescent="0.35">
      <c r="A385" t="s">
        <v>675</v>
      </c>
      <c r="B385" t="s">
        <v>675</v>
      </c>
    </row>
    <row r="386" spans="1:2" x14ac:dyDescent="0.35">
      <c r="A386" t="s">
        <v>195</v>
      </c>
      <c r="B386" t="s">
        <v>195</v>
      </c>
    </row>
    <row r="387" spans="1:2" x14ac:dyDescent="0.35">
      <c r="A387" t="s">
        <v>149</v>
      </c>
      <c r="B387" t="s">
        <v>149</v>
      </c>
    </row>
    <row r="388" spans="1:2" x14ac:dyDescent="0.35">
      <c r="A388" t="s">
        <v>331</v>
      </c>
      <c r="B388" t="s">
        <v>331</v>
      </c>
    </row>
    <row r="389" spans="1:2" x14ac:dyDescent="0.35">
      <c r="A389" t="s">
        <v>493</v>
      </c>
      <c r="B389" t="s">
        <v>493</v>
      </c>
    </row>
    <row r="390" spans="1:2" x14ac:dyDescent="0.35">
      <c r="A390" t="s">
        <v>41</v>
      </c>
      <c r="B390" t="s">
        <v>41</v>
      </c>
    </row>
    <row r="391" spans="1:2" x14ac:dyDescent="0.35">
      <c r="A391" t="s">
        <v>166</v>
      </c>
      <c r="B391" t="s">
        <v>166</v>
      </c>
    </row>
    <row r="392" spans="1:2" x14ac:dyDescent="0.35">
      <c r="A392" t="s">
        <v>329</v>
      </c>
      <c r="B392" t="s">
        <v>329</v>
      </c>
    </row>
    <row r="393" spans="1:2" x14ac:dyDescent="0.35">
      <c r="A393" t="s">
        <v>485</v>
      </c>
      <c r="B393" t="s">
        <v>485</v>
      </c>
    </row>
    <row r="394" spans="1:2" x14ac:dyDescent="0.35">
      <c r="A394" t="s">
        <v>16</v>
      </c>
      <c r="B394" t="s">
        <v>16</v>
      </c>
    </row>
    <row r="395" spans="1:2" x14ac:dyDescent="0.35">
      <c r="A395" t="s">
        <v>109</v>
      </c>
      <c r="B395" t="s">
        <v>109</v>
      </c>
    </row>
    <row r="396" spans="1:2" x14ac:dyDescent="0.35">
      <c r="A396" t="s">
        <v>121</v>
      </c>
      <c r="B396" t="s">
        <v>121</v>
      </c>
    </row>
    <row r="397" spans="1:2" x14ac:dyDescent="0.35">
      <c r="A397" t="s">
        <v>1159</v>
      </c>
      <c r="B397" t="s">
        <v>121</v>
      </c>
    </row>
    <row r="398" spans="1:2" x14ac:dyDescent="0.35">
      <c r="A398" t="s">
        <v>250</v>
      </c>
      <c r="B398" t="s">
        <v>121</v>
      </c>
    </row>
    <row r="399" spans="1:2" x14ac:dyDescent="0.35">
      <c r="A399" t="s">
        <v>122</v>
      </c>
      <c r="B399" t="s">
        <v>121</v>
      </c>
    </row>
    <row r="400" spans="1:2" x14ac:dyDescent="0.35">
      <c r="A400" t="s">
        <v>1160</v>
      </c>
      <c r="B400" t="s">
        <v>121</v>
      </c>
    </row>
    <row r="401" spans="1:2" x14ac:dyDescent="0.35">
      <c r="A401" t="s">
        <v>1161</v>
      </c>
      <c r="B401" t="s">
        <v>121</v>
      </c>
    </row>
    <row r="402" spans="1:2" x14ac:dyDescent="0.35">
      <c r="A402" t="s">
        <v>246</v>
      </c>
      <c r="B402" t="s">
        <v>121</v>
      </c>
    </row>
    <row r="403" spans="1:2" x14ac:dyDescent="0.35">
      <c r="A403" t="s">
        <v>242</v>
      </c>
      <c r="B403" t="s">
        <v>121</v>
      </c>
    </row>
    <row r="404" spans="1:2" x14ac:dyDescent="0.35">
      <c r="A404" t="s">
        <v>1162</v>
      </c>
      <c r="B404" t="s">
        <v>121</v>
      </c>
    </row>
    <row r="405" spans="1:2" x14ac:dyDescent="0.35">
      <c r="A405" t="s">
        <v>1163</v>
      </c>
      <c r="B405" t="s">
        <v>121</v>
      </c>
    </row>
    <row r="406" spans="1:2" x14ac:dyDescent="0.35">
      <c r="A406" t="s">
        <v>256</v>
      </c>
      <c r="B406" t="s">
        <v>121</v>
      </c>
    </row>
    <row r="407" spans="1:2" x14ac:dyDescent="0.35">
      <c r="A407" t="s">
        <v>1164</v>
      </c>
      <c r="B407" t="s">
        <v>121</v>
      </c>
    </row>
    <row r="408" spans="1:2" x14ac:dyDescent="0.35">
      <c r="A408" t="s">
        <v>546</v>
      </c>
      <c r="B408" t="s">
        <v>546</v>
      </c>
    </row>
    <row r="409" spans="1:2" x14ac:dyDescent="0.35">
      <c r="A409" t="s">
        <v>559</v>
      </c>
      <c r="B409" t="s">
        <v>559</v>
      </c>
    </row>
    <row r="410" spans="1:2" x14ac:dyDescent="0.35">
      <c r="A410" t="s">
        <v>555</v>
      </c>
      <c r="B410" t="s">
        <v>555</v>
      </c>
    </row>
    <row r="411" spans="1:2" x14ac:dyDescent="0.35">
      <c r="A411" t="s">
        <v>548</v>
      </c>
      <c r="B411" t="s">
        <v>548</v>
      </c>
    </row>
    <row r="412" spans="1:2" x14ac:dyDescent="0.35">
      <c r="A412" t="s">
        <v>544</v>
      </c>
      <c r="B412" t="s">
        <v>544</v>
      </c>
    </row>
    <row r="413" spans="1:2" x14ac:dyDescent="0.35">
      <c r="A413" t="s">
        <v>1165</v>
      </c>
      <c r="B413" t="s">
        <v>579</v>
      </c>
    </row>
    <row r="414" spans="1:2" x14ac:dyDescent="0.35">
      <c r="A414" t="s">
        <v>1166</v>
      </c>
      <c r="B414" t="s">
        <v>579</v>
      </c>
    </row>
    <row r="415" spans="1:2" x14ac:dyDescent="0.35">
      <c r="A415" t="s">
        <v>1167</v>
      </c>
      <c r="B415" t="s">
        <v>579</v>
      </c>
    </row>
    <row r="416" spans="1:2" x14ac:dyDescent="0.35">
      <c r="A416" t="s">
        <v>1168</v>
      </c>
      <c r="B416" t="s">
        <v>579</v>
      </c>
    </row>
    <row r="417" spans="1:2" x14ac:dyDescent="0.35">
      <c r="A417" t="s">
        <v>1169</v>
      </c>
      <c r="B417" t="s">
        <v>579</v>
      </c>
    </row>
    <row r="418" spans="1:2" x14ac:dyDescent="0.35">
      <c r="A418" t="s">
        <v>1170</v>
      </c>
      <c r="B418" t="s">
        <v>579</v>
      </c>
    </row>
    <row r="419" spans="1:2" x14ac:dyDescent="0.35">
      <c r="A419" t="s">
        <v>1171</v>
      </c>
      <c r="B419" t="s">
        <v>579</v>
      </c>
    </row>
    <row r="420" spans="1:2" x14ac:dyDescent="0.35">
      <c r="A420" t="s">
        <v>1172</v>
      </c>
      <c r="B420" t="s">
        <v>579</v>
      </c>
    </row>
    <row r="421" spans="1:2" x14ac:dyDescent="0.35">
      <c r="A421" t="s">
        <v>185</v>
      </c>
      <c r="B421" t="s">
        <v>185</v>
      </c>
    </row>
    <row r="422" spans="1:2" x14ac:dyDescent="0.35">
      <c r="A422" t="s">
        <v>796</v>
      </c>
      <c r="B422" t="s">
        <v>796</v>
      </c>
    </row>
    <row r="423" spans="1:2" x14ac:dyDescent="0.35">
      <c r="A423" t="s">
        <v>96</v>
      </c>
      <c r="B423" t="s">
        <v>96</v>
      </c>
    </row>
    <row r="424" spans="1:2" x14ac:dyDescent="0.35">
      <c r="A424" t="s">
        <v>154</v>
      </c>
      <c r="B424" t="s">
        <v>154</v>
      </c>
    </row>
    <row r="425" spans="1:2" x14ac:dyDescent="0.35">
      <c r="A425" t="s">
        <v>1173</v>
      </c>
      <c r="B425" t="s">
        <v>1173</v>
      </c>
    </row>
    <row r="426" spans="1:2" x14ac:dyDescent="0.35">
      <c r="A426" t="s">
        <v>1174</v>
      </c>
      <c r="B426" t="s">
        <v>1173</v>
      </c>
    </row>
    <row r="427" spans="1:2" x14ac:dyDescent="0.35">
      <c r="A427" t="s">
        <v>1175</v>
      </c>
      <c r="B427" t="s">
        <v>1173</v>
      </c>
    </row>
    <row r="428" spans="1:2" x14ac:dyDescent="0.35">
      <c r="A428" t="s">
        <v>537</v>
      </c>
      <c r="B428" t="s">
        <v>537</v>
      </c>
    </row>
    <row r="429" spans="1:2" x14ac:dyDescent="0.35">
      <c r="A429" t="s">
        <v>1176</v>
      </c>
      <c r="B429" t="s">
        <v>537</v>
      </c>
    </row>
    <row r="430" spans="1:2" x14ac:dyDescent="0.35">
      <c r="A430" t="s">
        <v>1177</v>
      </c>
      <c r="B430" t="s">
        <v>537</v>
      </c>
    </row>
    <row r="431" spans="1:2" x14ac:dyDescent="0.35">
      <c r="A431" t="s">
        <v>1178</v>
      </c>
      <c r="B431" t="s">
        <v>537</v>
      </c>
    </row>
    <row r="432" spans="1:2" x14ac:dyDescent="0.35">
      <c r="A432" t="s">
        <v>1179</v>
      </c>
      <c r="B432" t="s">
        <v>537</v>
      </c>
    </row>
    <row r="433" spans="1:2" x14ac:dyDescent="0.35">
      <c r="A433" t="s">
        <v>1180</v>
      </c>
      <c r="B433" t="s">
        <v>537</v>
      </c>
    </row>
    <row r="434" spans="1:2" x14ac:dyDescent="0.35">
      <c r="A434" t="s">
        <v>1181</v>
      </c>
      <c r="B434" t="s">
        <v>537</v>
      </c>
    </row>
    <row r="435" spans="1:2" x14ac:dyDescent="0.35">
      <c r="A435" t="s">
        <v>1182</v>
      </c>
      <c r="B435" t="s">
        <v>537</v>
      </c>
    </row>
    <row r="436" spans="1:2" x14ac:dyDescent="0.35">
      <c r="A436" t="s">
        <v>1183</v>
      </c>
      <c r="B436" t="s">
        <v>537</v>
      </c>
    </row>
    <row r="437" spans="1:2" x14ac:dyDescent="0.35">
      <c r="A437" t="s">
        <v>1184</v>
      </c>
      <c r="B437" t="s">
        <v>537</v>
      </c>
    </row>
    <row r="438" spans="1:2" x14ac:dyDescent="0.35">
      <c r="A438" t="s">
        <v>1185</v>
      </c>
      <c r="B438" t="s">
        <v>537</v>
      </c>
    </row>
    <row r="439" spans="1:2" x14ac:dyDescent="0.35">
      <c r="A439" t="s">
        <v>1186</v>
      </c>
      <c r="B439" t="s">
        <v>537</v>
      </c>
    </row>
    <row r="440" spans="1:2" x14ac:dyDescent="0.35">
      <c r="A440" t="s">
        <v>1187</v>
      </c>
      <c r="B440" t="s">
        <v>537</v>
      </c>
    </row>
    <row r="441" spans="1:2" x14ac:dyDescent="0.35">
      <c r="A441" t="s">
        <v>1188</v>
      </c>
      <c r="B441" t="s">
        <v>537</v>
      </c>
    </row>
    <row r="442" spans="1:2" x14ac:dyDescent="0.35">
      <c r="A442" t="s">
        <v>1189</v>
      </c>
      <c r="B442" t="s">
        <v>537</v>
      </c>
    </row>
    <row r="443" spans="1:2" x14ac:dyDescent="0.35">
      <c r="A443" t="s">
        <v>1190</v>
      </c>
      <c r="B443" t="s">
        <v>537</v>
      </c>
    </row>
    <row r="444" spans="1:2" x14ac:dyDescent="0.35">
      <c r="A444" t="s">
        <v>1191</v>
      </c>
      <c r="B444" t="s">
        <v>537</v>
      </c>
    </row>
    <row r="445" spans="1:2" x14ac:dyDescent="0.35">
      <c r="A445" t="s">
        <v>1192</v>
      </c>
      <c r="B445" t="s">
        <v>537</v>
      </c>
    </row>
    <row r="446" spans="1:2" x14ac:dyDescent="0.35">
      <c r="A446" t="s">
        <v>1193</v>
      </c>
      <c r="B446" t="s">
        <v>537</v>
      </c>
    </row>
    <row r="447" spans="1:2" x14ac:dyDescent="0.35">
      <c r="A447" t="s">
        <v>1194</v>
      </c>
      <c r="B447" t="s">
        <v>537</v>
      </c>
    </row>
    <row r="448" spans="1:2" x14ac:dyDescent="0.35">
      <c r="A448" t="s">
        <v>1195</v>
      </c>
      <c r="B448" t="s">
        <v>537</v>
      </c>
    </row>
    <row r="449" spans="1:2" x14ac:dyDescent="0.35">
      <c r="A449" t="s">
        <v>1196</v>
      </c>
      <c r="B449" t="s">
        <v>537</v>
      </c>
    </row>
    <row r="450" spans="1:2" x14ac:dyDescent="0.35">
      <c r="A450" t="s">
        <v>1197</v>
      </c>
      <c r="B450" t="s">
        <v>537</v>
      </c>
    </row>
    <row r="451" spans="1:2" x14ac:dyDescent="0.35">
      <c r="A451" t="s">
        <v>1198</v>
      </c>
      <c r="B451" t="s">
        <v>537</v>
      </c>
    </row>
    <row r="452" spans="1:2" x14ac:dyDescent="0.35">
      <c r="A452" t="s">
        <v>1199</v>
      </c>
      <c r="B452" t="s">
        <v>537</v>
      </c>
    </row>
    <row r="453" spans="1:2" x14ac:dyDescent="0.35">
      <c r="A453" t="s">
        <v>443</v>
      </c>
      <c r="B453" t="s">
        <v>443</v>
      </c>
    </row>
    <row r="454" spans="1:2" x14ac:dyDescent="0.35">
      <c r="A454" t="s">
        <v>8</v>
      </c>
      <c r="B454" t="s">
        <v>8</v>
      </c>
    </row>
    <row r="455" spans="1:2" x14ac:dyDescent="0.35">
      <c r="A455" t="s">
        <v>533</v>
      </c>
      <c r="B455" t="s">
        <v>533</v>
      </c>
    </row>
    <row r="456" spans="1:2" x14ac:dyDescent="0.35">
      <c r="A456" t="s">
        <v>521</v>
      </c>
      <c r="B456" t="s">
        <v>521</v>
      </c>
    </row>
    <row r="457" spans="1:2" x14ac:dyDescent="0.35">
      <c r="A457" t="s">
        <v>277</v>
      </c>
      <c r="B457" t="s">
        <v>335</v>
      </c>
    </row>
    <row r="458" spans="1:2" x14ac:dyDescent="0.35">
      <c r="A458" t="s">
        <v>550</v>
      </c>
      <c r="B458" t="s">
        <v>550</v>
      </c>
    </row>
    <row r="459" spans="1:2" x14ac:dyDescent="0.35">
      <c r="A459" t="s">
        <v>727</v>
      </c>
      <c r="B459" t="s">
        <v>727</v>
      </c>
    </row>
    <row r="460" spans="1:2" x14ac:dyDescent="0.35">
      <c r="A460" t="s">
        <v>780</v>
      </c>
      <c r="B460" t="s">
        <v>780</v>
      </c>
    </row>
    <row r="461" spans="1:2" x14ac:dyDescent="0.35">
      <c r="A461" t="s">
        <v>527</v>
      </c>
      <c r="B461" t="s">
        <v>527</v>
      </c>
    </row>
    <row r="462" spans="1:2" x14ac:dyDescent="0.35">
      <c r="A462" t="s">
        <v>575</v>
      </c>
      <c r="B462" t="s">
        <v>575</v>
      </c>
    </row>
    <row r="463" spans="1:2" x14ac:dyDescent="0.35">
      <c r="A463" t="s">
        <v>3</v>
      </c>
      <c r="B463" t="s">
        <v>3</v>
      </c>
    </row>
    <row r="464" spans="1:2" x14ac:dyDescent="0.35">
      <c r="A464" t="s">
        <v>713</v>
      </c>
      <c r="B464" t="s">
        <v>713</v>
      </c>
    </row>
    <row r="465" spans="1:2" x14ac:dyDescent="0.35">
      <c r="A465" t="s">
        <v>110</v>
      </c>
      <c r="B465" t="s">
        <v>110</v>
      </c>
    </row>
    <row r="466" spans="1:2" x14ac:dyDescent="0.35">
      <c r="A466" t="s">
        <v>703</v>
      </c>
      <c r="B466" t="s">
        <v>703</v>
      </c>
    </row>
    <row r="467" spans="1:2" x14ac:dyDescent="0.35">
      <c r="A467" t="s">
        <v>267</v>
      </c>
      <c r="B467" t="s">
        <v>267</v>
      </c>
    </row>
    <row r="468" spans="1:2" x14ac:dyDescent="0.35">
      <c r="A468" t="s">
        <v>696</v>
      </c>
      <c r="B468" t="s">
        <v>696</v>
      </c>
    </row>
    <row r="469" spans="1:2" x14ac:dyDescent="0.35">
      <c r="A469" t="s">
        <v>220</v>
      </c>
      <c r="B469" t="s">
        <v>220</v>
      </c>
    </row>
    <row r="470" spans="1:2" x14ac:dyDescent="0.35">
      <c r="A470" t="s">
        <v>1200</v>
      </c>
      <c r="B470" t="s">
        <v>220</v>
      </c>
    </row>
    <row r="471" spans="1:2" x14ac:dyDescent="0.35">
      <c r="A471" t="s">
        <v>1201</v>
      </c>
      <c r="B471" t="s">
        <v>220</v>
      </c>
    </row>
    <row r="472" spans="1:2" x14ac:dyDescent="0.35">
      <c r="A472" t="s">
        <v>293</v>
      </c>
      <c r="B472" t="s">
        <v>220</v>
      </c>
    </row>
    <row r="473" spans="1:2" x14ac:dyDescent="0.35">
      <c r="A473" t="s">
        <v>1202</v>
      </c>
      <c r="B473" t="s">
        <v>220</v>
      </c>
    </row>
    <row r="474" spans="1:2" x14ac:dyDescent="0.35">
      <c r="A474" t="s">
        <v>1203</v>
      </c>
      <c r="B474" t="s">
        <v>220</v>
      </c>
    </row>
    <row r="475" spans="1:2" x14ac:dyDescent="0.35">
      <c r="A475" t="s">
        <v>1204</v>
      </c>
      <c r="B475" t="s">
        <v>220</v>
      </c>
    </row>
    <row r="476" spans="1:2" x14ac:dyDescent="0.35">
      <c r="A476" t="s">
        <v>1205</v>
      </c>
      <c r="B476" t="s">
        <v>220</v>
      </c>
    </row>
    <row r="477" spans="1:2" x14ac:dyDescent="0.35">
      <c r="A477" t="s">
        <v>691</v>
      </c>
      <c r="B477" t="s">
        <v>691</v>
      </c>
    </row>
    <row r="478" spans="1:2" x14ac:dyDescent="0.35">
      <c r="A478" t="s">
        <v>46</v>
      </c>
      <c r="B478" t="s">
        <v>46</v>
      </c>
    </row>
    <row r="479" spans="1:2" x14ac:dyDescent="0.35">
      <c r="A479" t="s">
        <v>43</v>
      </c>
      <c r="B479" t="s">
        <v>43</v>
      </c>
    </row>
    <row r="480" spans="1:2" x14ac:dyDescent="0.35">
      <c r="A480" t="s">
        <v>689</v>
      </c>
      <c r="B480" t="s">
        <v>689</v>
      </c>
    </row>
    <row r="481" spans="1:2" x14ac:dyDescent="0.35">
      <c r="A481" t="s">
        <v>1206</v>
      </c>
      <c r="B481" t="s">
        <v>1206</v>
      </c>
    </row>
    <row r="482" spans="1:2" x14ac:dyDescent="0.35">
      <c r="A482" t="s">
        <v>687</v>
      </c>
      <c r="B482" t="s">
        <v>687</v>
      </c>
    </row>
    <row r="483" spans="1:2" x14ac:dyDescent="0.35">
      <c r="A483" t="s">
        <v>1207</v>
      </c>
      <c r="B483" t="s">
        <v>687</v>
      </c>
    </row>
    <row r="484" spans="1:2" x14ac:dyDescent="0.35">
      <c r="A484" t="s">
        <v>1208</v>
      </c>
      <c r="B484" t="s">
        <v>687</v>
      </c>
    </row>
    <row r="485" spans="1:2" x14ac:dyDescent="0.35">
      <c r="A485" t="s">
        <v>1209</v>
      </c>
      <c r="B485" t="s">
        <v>687</v>
      </c>
    </row>
    <row r="486" spans="1:2" x14ac:dyDescent="0.35">
      <c r="A486" t="s">
        <v>1210</v>
      </c>
      <c r="B486" t="s">
        <v>687</v>
      </c>
    </row>
    <row r="487" spans="1:2" x14ac:dyDescent="0.35">
      <c r="A487" t="s">
        <v>1211</v>
      </c>
      <c r="B487" t="s">
        <v>687</v>
      </c>
    </row>
    <row r="488" spans="1:2" x14ac:dyDescent="0.35">
      <c r="A488" t="s">
        <v>57</v>
      </c>
      <c r="B488" t="s">
        <v>57</v>
      </c>
    </row>
    <row r="489" spans="1:2" x14ac:dyDescent="0.35">
      <c r="A489" t="s">
        <v>77</v>
      </c>
      <c r="B489" t="s">
        <v>77</v>
      </c>
    </row>
    <row r="490" spans="1:2" x14ac:dyDescent="0.35">
      <c r="A490" t="s">
        <v>95</v>
      </c>
      <c r="B490" t="s">
        <v>77</v>
      </c>
    </row>
    <row r="491" spans="1:2" x14ac:dyDescent="0.35">
      <c r="A491" t="s">
        <v>83</v>
      </c>
      <c r="B491" t="s">
        <v>77</v>
      </c>
    </row>
    <row r="492" spans="1:2" x14ac:dyDescent="0.35">
      <c r="A492" t="s">
        <v>78</v>
      </c>
      <c r="B492" t="s">
        <v>77</v>
      </c>
    </row>
    <row r="493" spans="1:2" x14ac:dyDescent="0.35">
      <c r="A493" t="s">
        <v>116</v>
      </c>
      <c r="B493" t="s">
        <v>77</v>
      </c>
    </row>
    <row r="494" spans="1:2" x14ac:dyDescent="0.35">
      <c r="A494" t="s">
        <v>1212</v>
      </c>
      <c r="B494" t="s">
        <v>77</v>
      </c>
    </row>
    <row r="495" spans="1:2" x14ac:dyDescent="0.35">
      <c r="A495" t="s">
        <v>92</v>
      </c>
      <c r="B495" t="s">
        <v>92</v>
      </c>
    </row>
    <row r="496" spans="1:2" x14ac:dyDescent="0.35">
      <c r="A496" t="s">
        <v>362</v>
      </c>
      <c r="B496" t="s">
        <v>362</v>
      </c>
    </row>
    <row r="497" spans="1:2" x14ac:dyDescent="0.35">
      <c r="A497" t="s">
        <v>4</v>
      </c>
      <c r="B497" t="s">
        <v>4</v>
      </c>
    </row>
    <row r="498" spans="1:2" x14ac:dyDescent="0.35">
      <c r="A498" t="s">
        <v>823</v>
      </c>
      <c r="B498" t="s">
        <v>823</v>
      </c>
    </row>
    <row r="499" spans="1:2" x14ac:dyDescent="0.35">
      <c r="A499" t="s">
        <v>171</v>
      </c>
      <c r="B499" t="s">
        <v>171</v>
      </c>
    </row>
    <row r="500" spans="1:2" x14ac:dyDescent="0.35">
      <c r="A500" t="s">
        <v>12</v>
      </c>
      <c r="B500" t="s">
        <v>12</v>
      </c>
    </row>
    <row r="501" spans="1:2" x14ac:dyDescent="0.35">
      <c r="A501" t="s">
        <v>1213</v>
      </c>
      <c r="B501" t="s">
        <v>12</v>
      </c>
    </row>
    <row r="502" spans="1:2" x14ac:dyDescent="0.35">
      <c r="A502" t="s">
        <v>1214</v>
      </c>
      <c r="B502" t="s">
        <v>12</v>
      </c>
    </row>
    <row r="503" spans="1:2" x14ac:dyDescent="0.35">
      <c r="A503" t="s">
        <v>1215</v>
      </c>
      <c r="B503" t="s">
        <v>12</v>
      </c>
    </row>
    <row r="504" spans="1:2" x14ac:dyDescent="0.35">
      <c r="A504" t="s">
        <v>1216</v>
      </c>
      <c r="B504" t="s">
        <v>12</v>
      </c>
    </row>
    <row r="505" spans="1:2" x14ac:dyDescent="0.35">
      <c r="A505" t="s">
        <v>177</v>
      </c>
      <c r="B505" t="s">
        <v>12</v>
      </c>
    </row>
    <row r="506" spans="1:2" x14ac:dyDescent="0.35">
      <c r="A506" t="s">
        <v>740</v>
      </c>
      <c r="B506" t="s">
        <v>740</v>
      </c>
    </row>
    <row r="507" spans="1:2" x14ac:dyDescent="0.35">
      <c r="A507" t="s">
        <v>44</v>
      </c>
      <c r="B507" t="s">
        <v>44</v>
      </c>
    </row>
    <row r="508" spans="1:2" x14ac:dyDescent="0.35">
      <c r="A508" t="s">
        <v>152</v>
      </c>
      <c r="B508" t="s">
        <v>152</v>
      </c>
    </row>
    <row r="509" spans="1:2" x14ac:dyDescent="0.35">
      <c r="A509" t="s">
        <v>5</v>
      </c>
      <c r="B509" t="s">
        <v>5</v>
      </c>
    </row>
    <row r="510" spans="1:2" x14ac:dyDescent="0.35">
      <c r="A510" t="s">
        <v>1</v>
      </c>
      <c r="B510" t="s">
        <v>1</v>
      </c>
    </row>
    <row r="511" spans="1:2" x14ac:dyDescent="0.35">
      <c r="A511" t="s">
        <v>87</v>
      </c>
      <c r="B511" t="s">
        <v>87</v>
      </c>
    </row>
    <row r="512" spans="1:2" x14ac:dyDescent="0.35">
      <c r="A512" t="s">
        <v>192</v>
      </c>
      <c r="B512" t="s">
        <v>87</v>
      </c>
    </row>
    <row r="513" spans="1:2" x14ac:dyDescent="0.35">
      <c r="A513" t="s">
        <v>1217</v>
      </c>
      <c r="B513" t="s">
        <v>87</v>
      </c>
    </row>
    <row r="514" spans="1:2" x14ac:dyDescent="0.35">
      <c r="A514" t="s">
        <v>201</v>
      </c>
      <c r="B514" t="s">
        <v>87</v>
      </c>
    </row>
    <row r="515" spans="1:2" x14ac:dyDescent="0.35">
      <c r="A515" t="s">
        <v>1218</v>
      </c>
      <c r="B515" t="s">
        <v>87</v>
      </c>
    </row>
    <row r="516" spans="1:2" x14ac:dyDescent="0.35">
      <c r="A516" t="s">
        <v>133</v>
      </c>
      <c r="B516" t="s">
        <v>87</v>
      </c>
    </row>
    <row r="517" spans="1:2" x14ac:dyDescent="0.35">
      <c r="A517" t="s">
        <v>1219</v>
      </c>
      <c r="B517" t="s">
        <v>87</v>
      </c>
    </row>
    <row r="518" spans="1:2" x14ac:dyDescent="0.35">
      <c r="A518" t="s">
        <v>260</v>
      </c>
      <c r="B518" t="s">
        <v>87</v>
      </c>
    </row>
    <row r="519" spans="1:2" x14ac:dyDescent="0.35">
      <c r="A519" t="s">
        <v>188</v>
      </c>
      <c r="B519" t="s">
        <v>87</v>
      </c>
    </row>
    <row r="520" spans="1:2" x14ac:dyDescent="0.35">
      <c r="A520" t="s">
        <v>235</v>
      </c>
      <c r="B520" t="s">
        <v>87</v>
      </c>
    </row>
    <row r="521" spans="1:2" x14ac:dyDescent="0.35">
      <c r="A521" t="s">
        <v>186</v>
      </c>
      <c r="B521" t="s">
        <v>87</v>
      </c>
    </row>
    <row r="522" spans="1:2" x14ac:dyDescent="0.35">
      <c r="A522" t="s">
        <v>286</v>
      </c>
      <c r="B522" t="s">
        <v>87</v>
      </c>
    </row>
    <row r="523" spans="1:2" x14ac:dyDescent="0.35">
      <c r="A523" t="s">
        <v>216</v>
      </c>
      <c r="B523" t="s">
        <v>87</v>
      </c>
    </row>
    <row r="524" spans="1:2" x14ac:dyDescent="0.35">
      <c r="A524" t="s">
        <v>114</v>
      </c>
      <c r="B524" t="s">
        <v>87</v>
      </c>
    </row>
    <row r="525" spans="1:2" x14ac:dyDescent="0.35">
      <c r="A525" t="s">
        <v>88</v>
      </c>
      <c r="B525" t="s">
        <v>87</v>
      </c>
    </row>
    <row r="526" spans="1:2" x14ac:dyDescent="0.35">
      <c r="A526" t="s">
        <v>182</v>
      </c>
      <c r="B526" t="s">
        <v>87</v>
      </c>
    </row>
    <row r="527" spans="1:2" x14ac:dyDescent="0.35">
      <c r="A527" t="s">
        <v>170</v>
      </c>
      <c r="B527" t="s">
        <v>87</v>
      </c>
    </row>
    <row r="528" spans="1:2" x14ac:dyDescent="0.35">
      <c r="A528" t="s">
        <v>120</v>
      </c>
      <c r="B528" t="s">
        <v>87</v>
      </c>
    </row>
    <row r="529" spans="1:2" x14ac:dyDescent="0.35">
      <c r="A529" t="s">
        <v>204</v>
      </c>
      <c r="B529" t="s">
        <v>87</v>
      </c>
    </row>
    <row r="530" spans="1:2" x14ac:dyDescent="0.35">
      <c r="A530" t="s">
        <v>1220</v>
      </c>
      <c r="B530" t="s">
        <v>87</v>
      </c>
    </row>
    <row r="531" spans="1:2" x14ac:dyDescent="0.35">
      <c r="A531" t="s">
        <v>131</v>
      </c>
      <c r="B531" t="s">
        <v>87</v>
      </c>
    </row>
    <row r="532" spans="1:2" x14ac:dyDescent="0.35">
      <c r="A532" t="s">
        <v>1221</v>
      </c>
      <c r="B532" t="s">
        <v>87</v>
      </c>
    </row>
    <row r="533" spans="1:2" x14ac:dyDescent="0.35">
      <c r="A533" t="s">
        <v>64</v>
      </c>
      <c r="B533" t="s">
        <v>64</v>
      </c>
    </row>
    <row r="534" spans="1:2" x14ac:dyDescent="0.35">
      <c r="A534" t="s">
        <v>65</v>
      </c>
      <c r="B534" t="s">
        <v>65</v>
      </c>
    </row>
    <row r="535" spans="1:2" x14ac:dyDescent="0.35">
      <c r="A535" t="s">
        <v>91</v>
      </c>
      <c r="B535" t="s">
        <v>65</v>
      </c>
    </row>
    <row r="536" spans="1:2" x14ac:dyDescent="0.35">
      <c r="A536" t="s">
        <v>1222</v>
      </c>
      <c r="B536" t="s">
        <v>65</v>
      </c>
    </row>
    <row r="537" spans="1:2" x14ac:dyDescent="0.35">
      <c r="A537" t="s">
        <v>205</v>
      </c>
      <c r="B537" t="s">
        <v>65</v>
      </c>
    </row>
    <row r="538" spans="1:2" x14ac:dyDescent="0.35">
      <c r="A538" t="s">
        <v>255</v>
      </c>
      <c r="B538" t="s">
        <v>65</v>
      </c>
    </row>
    <row r="539" spans="1:2" x14ac:dyDescent="0.35">
      <c r="A539" t="s">
        <v>158</v>
      </c>
      <c r="B539" t="s">
        <v>65</v>
      </c>
    </row>
    <row r="540" spans="1:2" x14ac:dyDescent="0.35">
      <c r="A540" t="s">
        <v>25</v>
      </c>
      <c r="B540" t="s">
        <v>25</v>
      </c>
    </row>
    <row r="541" spans="1:2" x14ac:dyDescent="0.35">
      <c r="A541" t="s">
        <v>1223</v>
      </c>
      <c r="B541" t="s">
        <v>1223</v>
      </c>
    </row>
    <row r="542" spans="1:2" x14ac:dyDescent="0.35">
      <c r="A542" t="s">
        <v>218</v>
      </c>
      <c r="B542" t="s">
        <v>218</v>
      </c>
    </row>
    <row r="543" spans="1:2" x14ac:dyDescent="0.35">
      <c r="A543" t="s">
        <v>308</v>
      </c>
      <c r="B543" t="s">
        <v>308</v>
      </c>
    </row>
    <row r="544" spans="1:2" x14ac:dyDescent="0.35">
      <c r="A544" t="s">
        <v>52</v>
      </c>
      <c r="B544" t="s">
        <v>52</v>
      </c>
    </row>
    <row r="545" spans="1:2" x14ac:dyDescent="0.35">
      <c r="A545" t="s">
        <v>124</v>
      </c>
      <c r="B545" t="s">
        <v>124</v>
      </c>
    </row>
    <row r="546" spans="1:2" x14ac:dyDescent="0.35">
      <c r="A546" t="s">
        <v>111</v>
      </c>
      <c r="B546" t="s">
        <v>111</v>
      </c>
    </row>
    <row r="547" spans="1:2" x14ac:dyDescent="0.35">
      <c r="A547" t="s">
        <v>126</v>
      </c>
      <c r="B547" t="s">
        <v>126</v>
      </c>
    </row>
    <row r="548" spans="1:2" x14ac:dyDescent="0.35">
      <c r="A548" t="s">
        <v>167</v>
      </c>
      <c r="B548" t="s">
        <v>167</v>
      </c>
    </row>
    <row r="549" spans="1:2" x14ac:dyDescent="0.35">
      <c r="A549" t="s">
        <v>151</v>
      </c>
      <c r="B549" t="s">
        <v>151</v>
      </c>
    </row>
    <row r="550" spans="1:2" x14ac:dyDescent="0.35">
      <c r="A550" t="s">
        <v>519</v>
      </c>
      <c r="B550" t="s">
        <v>519</v>
      </c>
    </row>
    <row r="551" spans="1:2" x14ac:dyDescent="0.35">
      <c r="A551" t="s">
        <v>792</v>
      </c>
      <c r="B551" t="s">
        <v>792</v>
      </c>
    </row>
    <row r="552" spans="1:2" x14ac:dyDescent="0.35">
      <c r="A552" t="s">
        <v>1224</v>
      </c>
      <c r="B552" t="s">
        <v>1029</v>
      </c>
    </row>
    <row r="553" spans="1:2" x14ac:dyDescent="0.35">
      <c r="A553" t="s">
        <v>1225</v>
      </c>
      <c r="B553" t="s">
        <v>1225</v>
      </c>
    </row>
    <row r="554" spans="1:2" x14ac:dyDescent="0.35">
      <c r="A554" t="s">
        <v>1226</v>
      </c>
      <c r="B554" t="s">
        <v>1226</v>
      </c>
    </row>
    <row r="555" spans="1:2" x14ac:dyDescent="0.35">
      <c r="A555" t="s">
        <v>1227</v>
      </c>
      <c r="B555" t="s">
        <v>1227</v>
      </c>
    </row>
    <row r="556" spans="1:2" x14ac:dyDescent="0.35">
      <c r="A556" t="s">
        <v>511</v>
      </c>
      <c r="B556" t="s">
        <v>511</v>
      </c>
    </row>
    <row r="557" spans="1:2" x14ac:dyDescent="0.35">
      <c r="A557" t="s">
        <v>28</v>
      </c>
      <c r="B557" t="s">
        <v>28</v>
      </c>
    </row>
    <row r="558" spans="1:2" x14ac:dyDescent="0.35">
      <c r="A558" t="s">
        <v>63</v>
      </c>
      <c r="B558" t="s">
        <v>63</v>
      </c>
    </row>
    <row r="559" spans="1:2" x14ac:dyDescent="0.35">
      <c r="A559" t="s">
        <v>71</v>
      </c>
      <c r="B559" t="s">
        <v>63</v>
      </c>
    </row>
    <row r="560" spans="1:2" x14ac:dyDescent="0.35">
      <c r="A560" t="s">
        <v>49</v>
      </c>
      <c r="B560" t="s">
        <v>49</v>
      </c>
    </row>
    <row r="561" spans="1:2" x14ac:dyDescent="0.35">
      <c r="A561" t="s">
        <v>148</v>
      </c>
      <c r="B561" t="s">
        <v>148</v>
      </c>
    </row>
    <row r="562" spans="1:2" x14ac:dyDescent="0.35">
      <c r="A562" t="s">
        <v>1228</v>
      </c>
      <c r="B562" t="s">
        <v>677</v>
      </c>
    </row>
    <row r="563" spans="1:2" x14ac:dyDescent="0.35">
      <c r="A563" t="s">
        <v>1229</v>
      </c>
      <c r="B563" t="s">
        <v>677</v>
      </c>
    </row>
    <row r="564" spans="1:2" x14ac:dyDescent="0.35">
      <c r="A564" t="s">
        <v>1230</v>
      </c>
      <c r="B564" t="s">
        <v>677</v>
      </c>
    </row>
    <row r="565" spans="1:2" x14ac:dyDescent="0.35">
      <c r="A565" t="s">
        <v>1231</v>
      </c>
      <c r="B565" t="s">
        <v>677</v>
      </c>
    </row>
    <row r="566" spans="1:2" x14ac:dyDescent="0.35">
      <c r="A566" t="s">
        <v>1232</v>
      </c>
      <c r="B566" t="s">
        <v>677</v>
      </c>
    </row>
    <row r="567" spans="1:2" x14ac:dyDescent="0.35">
      <c r="A567" t="s">
        <v>1233</v>
      </c>
      <c r="B567" t="s">
        <v>1233</v>
      </c>
    </row>
    <row r="568" spans="1:2" x14ac:dyDescent="0.35">
      <c r="A568" t="s">
        <v>176</v>
      </c>
      <c r="B568" t="s">
        <v>176</v>
      </c>
    </row>
    <row r="569" spans="1:2" x14ac:dyDescent="0.35">
      <c r="A569" t="s">
        <v>467</v>
      </c>
      <c r="B569" t="s">
        <v>467</v>
      </c>
    </row>
    <row r="570" spans="1:2" x14ac:dyDescent="0.35">
      <c r="A570" t="s">
        <v>1234</v>
      </c>
      <c r="B570" t="s">
        <v>467</v>
      </c>
    </row>
    <row r="571" spans="1:2" x14ac:dyDescent="0.35">
      <c r="A571" t="s">
        <v>1235</v>
      </c>
      <c r="B571" t="s">
        <v>467</v>
      </c>
    </row>
    <row r="572" spans="1:2" x14ac:dyDescent="0.35">
      <c r="A572" t="s">
        <v>1236</v>
      </c>
      <c r="B572" t="s">
        <v>467</v>
      </c>
    </row>
    <row r="573" spans="1:2" x14ac:dyDescent="0.35">
      <c r="A573" t="s">
        <v>1237</v>
      </c>
      <c r="B573" t="s">
        <v>467</v>
      </c>
    </row>
    <row r="574" spans="1:2" x14ac:dyDescent="0.35">
      <c r="A574" t="s">
        <v>1238</v>
      </c>
      <c r="B574" t="s">
        <v>467</v>
      </c>
    </row>
    <row r="575" spans="1:2" x14ac:dyDescent="0.35">
      <c r="A575" t="s">
        <v>1239</v>
      </c>
      <c r="B575" t="s">
        <v>467</v>
      </c>
    </row>
    <row r="576" spans="1:2" x14ac:dyDescent="0.35">
      <c r="A576" t="s">
        <v>1240</v>
      </c>
      <c r="B576" t="s">
        <v>467</v>
      </c>
    </row>
    <row r="577" spans="1:2" x14ac:dyDescent="0.35">
      <c r="A577" t="s">
        <v>320</v>
      </c>
      <c r="B577" t="s">
        <v>320</v>
      </c>
    </row>
    <row r="578" spans="1:2" x14ac:dyDescent="0.35">
      <c r="A578" t="s">
        <v>1241</v>
      </c>
      <c r="B578" t="s">
        <v>1241</v>
      </c>
    </row>
    <row r="579" spans="1:2" x14ac:dyDescent="0.35">
      <c r="A579" t="s">
        <v>112</v>
      </c>
      <c r="B579" t="s">
        <v>112</v>
      </c>
    </row>
    <row r="580" spans="1:2" x14ac:dyDescent="0.35">
      <c r="A580" t="s">
        <v>17</v>
      </c>
      <c r="B580" t="s">
        <v>17</v>
      </c>
    </row>
    <row r="581" spans="1:2" x14ac:dyDescent="0.35">
      <c r="A581" t="s">
        <v>9</v>
      </c>
      <c r="B581" t="s">
        <v>9</v>
      </c>
    </row>
    <row r="582" spans="1:2" x14ac:dyDescent="0.35">
      <c r="A582" t="s">
        <v>1242</v>
      </c>
      <c r="B582" t="s">
        <v>9</v>
      </c>
    </row>
    <row r="583" spans="1:2" x14ac:dyDescent="0.35">
      <c r="A583" t="s">
        <v>282</v>
      </c>
      <c r="B583" t="s">
        <v>282</v>
      </c>
    </row>
    <row r="584" spans="1:2" x14ac:dyDescent="0.35">
      <c r="A584" t="s">
        <v>509</v>
      </c>
      <c r="B584" t="s">
        <v>509</v>
      </c>
    </row>
    <row r="585" spans="1:2" x14ac:dyDescent="0.35">
      <c r="A585" t="s">
        <v>1243</v>
      </c>
      <c r="B585" t="s">
        <v>1816</v>
      </c>
    </row>
    <row r="586" spans="1:2" x14ac:dyDescent="0.35">
      <c r="A586" t="s">
        <v>1244</v>
      </c>
      <c r="B586" t="s">
        <v>1816</v>
      </c>
    </row>
    <row r="587" spans="1:2" x14ac:dyDescent="0.35">
      <c r="A587" t="s">
        <v>1245</v>
      </c>
      <c r="B587" t="s">
        <v>1816</v>
      </c>
    </row>
    <row r="588" spans="1:2" x14ac:dyDescent="0.35">
      <c r="A588" t="s">
        <v>1246</v>
      </c>
      <c r="B588" t="s">
        <v>1816</v>
      </c>
    </row>
    <row r="589" spans="1:2" x14ac:dyDescent="0.35">
      <c r="A589" t="s">
        <v>1247</v>
      </c>
      <c r="B589" t="s">
        <v>1816</v>
      </c>
    </row>
    <row r="590" spans="1:2" x14ac:dyDescent="0.35">
      <c r="A590" t="s">
        <v>1248</v>
      </c>
      <c r="B590" t="s">
        <v>1816</v>
      </c>
    </row>
    <row r="591" spans="1:2" x14ac:dyDescent="0.35">
      <c r="A591" t="s">
        <v>1249</v>
      </c>
      <c r="B591" t="s">
        <v>1816</v>
      </c>
    </row>
    <row r="592" spans="1:2" x14ac:dyDescent="0.35">
      <c r="A592" t="s">
        <v>1250</v>
      </c>
      <c r="B592" t="s">
        <v>1816</v>
      </c>
    </row>
    <row r="593" spans="1:2" x14ac:dyDescent="0.35">
      <c r="A593" t="s">
        <v>1251</v>
      </c>
      <c r="B593" t="s">
        <v>1816</v>
      </c>
    </row>
    <row r="594" spans="1:2" x14ac:dyDescent="0.35">
      <c r="A594" t="s">
        <v>1252</v>
      </c>
      <c r="B594" t="s">
        <v>1816</v>
      </c>
    </row>
    <row r="595" spans="1:2" x14ac:dyDescent="0.35">
      <c r="A595" t="s">
        <v>1253</v>
      </c>
      <c r="B595" t="s">
        <v>1816</v>
      </c>
    </row>
    <row r="596" spans="1:2" x14ac:dyDescent="0.35">
      <c r="A596" t="s">
        <v>1254</v>
      </c>
      <c r="B596" t="s">
        <v>1816</v>
      </c>
    </row>
    <row r="597" spans="1:2" x14ac:dyDescent="0.35">
      <c r="A597" t="s">
        <v>1255</v>
      </c>
      <c r="B597" t="s">
        <v>1816</v>
      </c>
    </row>
    <row r="598" spans="1:2" x14ac:dyDescent="0.35">
      <c r="A598" t="s">
        <v>1256</v>
      </c>
      <c r="B598" t="s">
        <v>1816</v>
      </c>
    </row>
    <row r="599" spans="1:2" x14ac:dyDescent="0.35">
      <c r="A599" t="s">
        <v>1257</v>
      </c>
      <c r="B599" t="s">
        <v>1816</v>
      </c>
    </row>
    <row r="600" spans="1:2" x14ac:dyDescent="0.35">
      <c r="A600" t="s">
        <v>1258</v>
      </c>
      <c r="B600" t="s">
        <v>1816</v>
      </c>
    </row>
    <row r="601" spans="1:2" x14ac:dyDescent="0.35">
      <c r="A601" t="s">
        <v>1259</v>
      </c>
      <c r="B601" t="s">
        <v>1816</v>
      </c>
    </row>
    <row r="602" spans="1:2" x14ac:dyDescent="0.35">
      <c r="A602" t="s">
        <v>1260</v>
      </c>
      <c r="B602" t="s">
        <v>1816</v>
      </c>
    </row>
    <row r="603" spans="1:2" x14ac:dyDescent="0.35">
      <c r="A603" t="s">
        <v>1261</v>
      </c>
      <c r="B603" t="s">
        <v>1816</v>
      </c>
    </row>
    <row r="604" spans="1:2" x14ac:dyDescent="0.35">
      <c r="A604" t="s">
        <v>1262</v>
      </c>
      <c r="B604" t="s">
        <v>1816</v>
      </c>
    </row>
    <row r="605" spans="1:2" x14ac:dyDescent="0.35">
      <c r="A605" t="s">
        <v>1263</v>
      </c>
      <c r="B605" t="s">
        <v>1816</v>
      </c>
    </row>
    <row r="606" spans="1:2" x14ac:dyDescent="0.35">
      <c r="A606" t="s">
        <v>1264</v>
      </c>
      <c r="B606" t="s">
        <v>1816</v>
      </c>
    </row>
    <row r="607" spans="1:2" x14ac:dyDescent="0.35">
      <c r="A607" t="s">
        <v>1265</v>
      </c>
      <c r="B607" t="s">
        <v>1816</v>
      </c>
    </row>
    <row r="608" spans="1:2" x14ac:dyDescent="0.35">
      <c r="A608" t="s">
        <v>1266</v>
      </c>
      <c r="B608" t="s">
        <v>1816</v>
      </c>
    </row>
    <row r="609" spans="1:2" x14ac:dyDescent="0.35">
      <c r="A609" t="s">
        <v>1267</v>
      </c>
      <c r="B609" t="s">
        <v>1816</v>
      </c>
    </row>
    <row r="610" spans="1:2" x14ac:dyDescent="0.35">
      <c r="A610" t="s">
        <v>1268</v>
      </c>
      <c r="B610" t="s">
        <v>1816</v>
      </c>
    </row>
    <row r="611" spans="1:2" x14ac:dyDescent="0.35">
      <c r="A611" t="s">
        <v>1269</v>
      </c>
      <c r="B611" t="s">
        <v>1816</v>
      </c>
    </row>
    <row r="612" spans="1:2" x14ac:dyDescent="0.35">
      <c r="A612" t="s">
        <v>196</v>
      </c>
      <c r="B612" t="s">
        <v>196</v>
      </c>
    </row>
    <row r="613" spans="1:2" x14ac:dyDescent="0.35">
      <c r="A613" t="s">
        <v>459</v>
      </c>
      <c r="B613" t="s">
        <v>459</v>
      </c>
    </row>
    <row r="614" spans="1:2" x14ac:dyDescent="0.35">
      <c r="A614" t="s">
        <v>1270</v>
      </c>
      <c r="B614" t="s">
        <v>1817</v>
      </c>
    </row>
    <row r="615" spans="1:2" x14ac:dyDescent="0.35">
      <c r="A615" t="s">
        <v>1271</v>
      </c>
      <c r="B615" t="s">
        <v>1817</v>
      </c>
    </row>
    <row r="616" spans="1:2" x14ac:dyDescent="0.35">
      <c r="A616" t="s">
        <v>1272</v>
      </c>
      <c r="B616" t="s">
        <v>1817</v>
      </c>
    </row>
    <row r="617" spans="1:2" x14ac:dyDescent="0.35">
      <c r="A617" t="s">
        <v>1273</v>
      </c>
      <c r="B617" t="s">
        <v>1817</v>
      </c>
    </row>
    <row r="618" spans="1:2" x14ac:dyDescent="0.35">
      <c r="A618" t="s">
        <v>1274</v>
      </c>
      <c r="B618" t="s">
        <v>1817</v>
      </c>
    </row>
    <row r="619" spans="1:2" x14ac:dyDescent="0.35">
      <c r="A619" t="s">
        <v>1275</v>
      </c>
      <c r="B619" t="s">
        <v>1817</v>
      </c>
    </row>
    <row r="620" spans="1:2" x14ac:dyDescent="0.35">
      <c r="A620" t="s">
        <v>1276</v>
      </c>
      <c r="B620" t="s">
        <v>1817</v>
      </c>
    </row>
    <row r="621" spans="1:2" x14ac:dyDescent="0.35">
      <c r="A621" t="s">
        <v>1277</v>
      </c>
      <c r="B621" t="s">
        <v>1817</v>
      </c>
    </row>
    <row r="622" spans="1:2" x14ac:dyDescent="0.35">
      <c r="A622" t="s">
        <v>1278</v>
      </c>
      <c r="B622" t="s">
        <v>1817</v>
      </c>
    </row>
    <row r="623" spans="1:2" x14ac:dyDescent="0.35">
      <c r="A623" t="s">
        <v>1279</v>
      </c>
      <c r="B623" t="s">
        <v>1817</v>
      </c>
    </row>
    <row r="624" spans="1:2" x14ac:dyDescent="0.35">
      <c r="A624" t="s">
        <v>1280</v>
      </c>
      <c r="B624" t="s">
        <v>1817</v>
      </c>
    </row>
    <row r="625" spans="1:2" x14ac:dyDescent="0.35">
      <c r="A625" t="s">
        <v>1281</v>
      </c>
      <c r="B625" t="s">
        <v>1817</v>
      </c>
    </row>
    <row r="626" spans="1:2" x14ac:dyDescent="0.35">
      <c r="A626" t="s">
        <v>1282</v>
      </c>
      <c r="B626" t="s">
        <v>1817</v>
      </c>
    </row>
    <row r="627" spans="1:2" x14ac:dyDescent="0.35">
      <c r="A627" t="s">
        <v>1283</v>
      </c>
      <c r="B627" t="s">
        <v>1817</v>
      </c>
    </row>
    <row r="628" spans="1:2" x14ac:dyDescent="0.35">
      <c r="A628" t="s">
        <v>1284</v>
      </c>
      <c r="B628" t="s">
        <v>1817</v>
      </c>
    </row>
    <row r="629" spans="1:2" x14ac:dyDescent="0.35">
      <c r="A629" t="s">
        <v>1285</v>
      </c>
      <c r="B629" t="s">
        <v>1817</v>
      </c>
    </row>
    <row r="630" spans="1:2" x14ac:dyDescent="0.35">
      <c r="A630" t="s">
        <v>1286</v>
      </c>
      <c r="B630" t="s">
        <v>1817</v>
      </c>
    </row>
    <row r="631" spans="1:2" x14ac:dyDescent="0.35">
      <c r="A631" t="s">
        <v>1287</v>
      </c>
      <c r="B631" t="s">
        <v>1817</v>
      </c>
    </row>
    <row r="632" spans="1:2" x14ac:dyDescent="0.35">
      <c r="A632" t="s">
        <v>1288</v>
      </c>
      <c r="B632" t="s">
        <v>1817</v>
      </c>
    </row>
    <row r="633" spans="1:2" x14ac:dyDescent="0.35">
      <c r="A633" t="s">
        <v>1289</v>
      </c>
      <c r="B633" t="s">
        <v>1817</v>
      </c>
    </row>
    <row r="634" spans="1:2" x14ac:dyDescent="0.35">
      <c r="A634" t="s">
        <v>1290</v>
      </c>
      <c r="B634" t="s">
        <v>1817</v>
      </c>
    </row>
    <row r="635" spans="1:2" x14ac:dyDescent="0.35">
      <c r="A635" t="s">
        <v>1291</v>
      </c>
      <c r="B635" t="s">
        <v>1817</v>
      </c>
    </row>
    <row r="636" spans="1:2" x14ac:dyDescent="0.35">
      <c r="A636" t="s">
        <v>1292</v>
      </c>
      <c r="B636" t="s">
        <v>1817</v>
      </c>
    </row>
    <row r="637" spans="1:2" x14ac:dyDescent="0.35">
      <c r="A637" t="s">
        <v>1293</v>
      </c>
      <c r="B637" t="s">
        <v>1817</v>
      </c>
    </row>
    <row r="638" spans="1:2" x14ac:dyDescent="0.35">
      <c r="A638" t="s">
        <v>1294</v>
      </c>
      <c r="B638" t="s">
        <v>1817</v>
      </c>
    </row>
    <row r="639" spans="1:2" x14ac:dyDescent="0.35">
      <c r="A639" t="s">
        <v>1295</v>
      </c>
      <c r="B639" t="s">
        <v>1817</v>
      </c>
    </row>
    <row r="640" spans="1:2" x14ac:dyDescent="0.35">
      <c r="A640" t="s">
        <v>1296</v>
      </c>
      <c r="B640" t="s">
        <v>1817</v>
      </c>
    </row>
    <row r="641" spans="1:2" x14ac:dyDescent="0.35">
      <c r="A641" t="s">
        <v>1297</v>
      </c>
      <c r="B641" t="s">
        <v>1817</v>
      </c>
    </row>
    <row r="642" spans="1:2" x14ac:dyDescent="0.35">
      <c r="A642" t="s">
        <v>1298</v>
      </c>
      <c r="B642" t="s">
        <v>1817</v>
      </c>
    </row>
    <row r="643" spans="1:2" x14ac:dyDescent="0.35">
      <c r="A643" t="s">
        <v>1299</v>
      </c>
      <c r="B643" t="s">
        <v>1817</v>
      </c>
    </row>
    <row r="644" spans="1:2" x14ac:dyDescent="0.35">
      <c r="A644" t="s">
        <v>1300</v>
      </c>
      <c r="B644" t="s">
        <v>1817</v>
      </c>
    </row>
    <row r="645" spans="1:2" x14ac:dyDescent="0.35">
      <c r="A645" t="s">
        <v>1301</v>
      </c>
      <c r="B645" t="s">
        <v>1817</v>
      </c>
    </row>
    <row r="646" spans="1:2" x14ac:dyDescent="0.35">
      <c r="A646" t="s">
        <v>1302</v>
      </c>
      <c r="B646" t="s">
        <v>1817</v>
      </c>
    </row>
    <row r="647" spans="1:2" x14ac:dyDescent="0.35">
      <c r="A647" t="s">
        <v>1303</v>
      </c>
      <c r="B647" t="s">
        <v>1817</v>
      </c>
    </row>
    <row r="648" spans="1:2" x14ac:dyDescent="0.35">
      <c r="A648" t="s">
        <v>1304</v>
      </c>
      <c r="B648" t="s">
        <v>1817</v>
      </c>
    </row>
    <row r="649" spans="1:2" x14ac:dyDescent="0.35">
      <c r="A649" t="s">
        <v>1305</v>
      </c>
      <c r="B649" t="s">
        <v>1817</v>
      </c>
    </row>
    <row r="650" spans="1:2" x14ac:dyDescent="0.35">
      <c r="A650" t="s">
        <v>1306</v>
      </c>
      <c r="B650" t="s">
        <v>1817</v>
      </c>
    </row>
    <row r="651" spans="1:2" x14ac:dyDescent="0.35">
      <c r="A651" t="s">
        <v>1307</v>
      </c>
      <c r="B651" t="s">
        <v>1817</v>
      </c>
    </row>
    <row r="652" spans="1:2" x14ac:dyDescent="0.35">
      <c r="A652" t="s">
        <v>1308</v>
      </c>
      <c r="B652" t="s">
        <v>1817</v>
      </c>
    </row>
    <row r="653" spans="1:2" x14ac:dyDescent="0.35">
      <c r="A653" t="s">
        <v>66</v>
      </c>
      <c r="B653" t="s">
        <v>66</v>
      </c>
    </row>
    <row r="654" spans="1:2" x14ac:dyDescent="0.35">
      <c r="A654" t="s">
        <v>387</v>
      </c>
      <c r="B654" t="s">
        <v>387</v>
      </c>
    </row>
    <row r="655" spans="1:2" x14ac:dyDescent="0.35">
      <c r="A655" t="s">
        <v>72</v>
      </c>
      <c r="B655" t="s">
        <v>72</v>
      </c>
    </row>
    <row r="656" spans="1:2" x14ac:dyDescent="0.35">
      <c r="A656" t="s">
        <v>98</v>
      </c>
      <c r="B656" t="s">
        <v>98</v>
      </c>
    </row>
    <row r="657" spans="1:2" x14ac:dyDescent="0.35">
      <c r="A657" t="s">
        <v>1309</v>
      </c>
      <c r="B657" t="s">
        <v>1309</v>
      </c>
    </row>
    <row r="658" spans="1:2" x14ac:dyDescent="0.35">
      <c r="A658" t="s">
        <v>10</v>
      </c>
      <c r="B658" t="s">
        <v>10</v>
      </c>
    </row>
    <row r="659" spans="1:2" x14ac:dyDescent="0.35">
      <c r="A659" t="s">
        <v>513</v>
      </c>
      <c r="B659" t="s">
        <v>513</v>
      </c>
    </row>
    <row r="660" spans="1:2" x14ac:dyDescent="0.35">
      <c r="A660" t="s">
        <v>1310</v>
      </c>
      <c r="B660" t="s">
        <v>1310</v>
      </c>
    </row>
    <row r="661" spans="1:2" x14ac:dyDescent="0.35">
      <c r="A661" t="s">
        <v>1311</v>
      </c>
      <c r="B661" t="s">
        <v>935</v>
      </c>
    </row>
    <row r="662" spans="1:2" x14ac:dyDescent="0.35">
      <c r="A662" t="s">
        <v>60</v>
      </c>
      <c r="B662" t="s">
        <v>60</v>
      </c>
    </row>
    <row r="663" spans="1:2" x14ac:dyDescent="0.35">
      <c r="A663" t="s">
        <v>172</v>
      </c>
      <c r="B663" t="s">
        <v>172</v>
      </c>
    </row>
    <row r="664" spans="1:2" x14ac:dyDescent="0.35">
      <c r="A664" t="s">
        <v>42</v>
      </c>
      <c r="B664" t="s">
        <v>42</v>
      </c>
    </row>
    <row r="665" spans="1:2" x14ac:dyDescent="0.35">
      <c r="A665" t="s">
        <v>787</v>
      </c>
      <c r="B665" t="s">
        <v>787</v>
      </c>
    </row>
    <row r="666" spans="1:2" x14ac:dyDescent="0.35">
      <c r="A666" t="s">
        <v>422</v>
      </c>
      <c r="B666" t="s">
        <v>422</v>
      </c>
    </row>
    <row r="667" spans="1:2" x14ac:dyDescent="0.35">
      <c r="A667" t="s">
        <v>35</v>
      </c>
      <c r="B667" t="s">
        <v>35</v>
      </c>
    </row>
    <row r="668" spans="1:2" x14ac:dyDescent="0.35">
      <c r="A668" t="s">
        <v>671</v>
      </c>
      <c r="B668" t="s">
        <v>671</v>
      </c>
    </row>
    <row r="669" spans="1:2" x14ac:dyDescent="0.35">
      <c r="A669" t="s">
        <v>324</v>
      </c>
      <c r="B669" t="s">
        <v>324</v>
      </c>
    </row>
    <row r="670" spans="1:2" x14ac:dyDescent="0.35">
      <c r="A670" t="s">
        <v>261</v>
      </c>
      <c r="B670" t="s">
        <v>261</v>
      </c>
    </row>
    <row r="671" spans="1:2" x14ac:dyDescent="0.35">
      <c r="A671" t="s">
        <v>1312</v>
      </c>
      <c r="B671" t="s">
        <v>1312</v>
      </c>
    </row>
    <row r="672" spans="1:2" x14ac:dyDescent="0.35">
      <c r="A672" t="s">
        <v>252</v>
      </c>
      <c r="B672" t="s">
        <v>252</v>
      </c>
    </row>
    <row r="673" spans="1:2" x14ac:dyDescent="0.35">
      <c r="A673" t="s">
        <v>390</v>
      </c>
      <c r="B673" t="s">
        <v>390</v>
      </c>
    </row>
    <row r="674" spans="1:2" x14ac:dyDescent="0.35">
      <c r="A674" t="s">
        <v>1313</v>
      </c>
      <c r="B674" t="s">
        <v>257</v>
      </c>
    </row>
    <row r="675" spans="1:2" x14ac:dyDescent="0.35">
      <c r="A675" t="s">
        <v>428</v>
      </c>
      <c r="B675" t="s">
        <v>428</v>
      </c>
    </row>
    <row r="676" spans="1:2" x14ac:dyDescent="0.35">
      <c r="A676" t="s">
        <v>453</v>
      </c>
      <c r="B676" t="s">
        <v>453</v>
      </c>
    </row>
    <row r="677" spans="1:2" x14ac:dyDescent="0.35">
      <c r="A677" t="s">
        <v>465</v>
      </c>
      <c r="B677" t="s">
        <v>465</v>
      </c>
    </row>
    <row r="678" spans="1:2" x14ac:dyDescent="0.35">
      <c r="A678" t="s">
        <v>1314</v>
      </c>
      <c r="B678" t="s">
        <v>465</v>
      </c>
    </row>
    <row r="679" spans="1:2" x14ac:dyDescent="0.35">
      <c r="A679" t="s">
        <v>1315</v>
      </c>
      <c r="B679" t="s">
        <v>465</v>
      </c>
    </row>
    <row r="680" spans="1:2" x14ac:dyDescent="0.35">
      <c r="A680" t="s">
        <v>1316</v>
      </c>
      <c r="B680" t="s">
        <v>465</v>
      </c>
    </row>
    <row r="681" spans="1:2" x14ac:dyDescent="0.35">
      <c r="A681" t="s">
        <v>1317</v>
      </c>
      <c r="B681" t="s">
        <v>465</v>
      </c>
    </row>
    <row r="682" spans="1:2" x14ac:dyDescent="0.35">
      <c r="A682" t="s">
        <v>1318</v>
      </c>
      <c r="B682" t="s">
        <v>465</v>
      </c>
    </row>
    <row r="683" spans="1:2" x14ac:dyDescent="0.35">
      <c r="A683" t="s">
        <v>1319</v>
      </c>
      <c r="B683" t="s">
        <v>465</v>
      </c>
    </row>
    <row r="684" spans="1:2" x14ac:dyDescent="0.35">
      <c r="A684" t="s">
        <v>1320</v>
      </c>
      <c r="B684" t="s">
        <v>465</v>
      </c>
    </row>
    <row r="685" spans="1:2" x14ac:dyDescent="0.35">
      <c r="A685" t="s">
        <v>1321</v>
      </c>
      <c r="B685" t="s">
        <v>465</v>
      </c>
    </row>
    <row r="686" spans="1:2" x14ac:dyDescent="0.35">
      <c r="A686" t="s">
        <v>1322</v>
      </c>
      <c r="B686" t="s">
        <v>465</v>
      </c>
    </row>
    <row r="687" spans="1:2" x14ac:dyDescent="0.35">
      <c r="A687" t="s">
        <v>1323</v>
      </c>
      <c r="B687" t="s">
        <v>465</v>
      </c>
    </row>
    <row r="688" spans="1:2" x14ac:dyDescent="0.35">
      <c r="A688" t="s">
        <v>1324</v>
      </c>
      <c r="B688" t="s">
        <v>465</v>
      </c>
    </row>
    <row r="689" spans="1:2" x14ac:dyDescent="0.35">
      <c r="A689" t="s">
        <v>1325</v>
      </c>
      <c r="B689" t="s">
        <v>465</v>
      </c>
    </row>
    <row r="690" spans="1:2" x14ac:dyDescent="0.35">
      <c r="A690" t="s">
        <v>85</v>
      </c>
      <c r="B690" t="s">
        <v>353</v>
      </c>
    </row>
    <row r="691" spans="1:2" x14ac:dyDescent="0.35">
      <c r="A691" t="s">
        <v>18</v>
      </c>
      <c r="B691" t="s">
        <v>18</v>
      </c>
    </row>
    <row r="692" spans="1:2" x14ac:dyDescent="0.35">
      <c r="A692" t="s">
        <v>1326</v>
      </c>
      <c r="B692" t="s">
        <v>18</v>
      </c>
    </row>
    <row r="693" spans="1:2" x14ac:dyDescent="0.35">
      <c r="A693" t="s">
        <v>258</v>
      </c>
      <c r="B693" t="s">
        <v>18</v>
      </c>
    </row>
    <row r="694" spans="1:2" x14ac:dyDescent="0.35">
      <c r="A694" t="s">
        <v>234</v>
      </c>
      <c r="B694" t="s">
        <v>18</v>
      </c>
    </row>
    <row r="695" spans="1:2" x14ac:dyDescent="0.35">
      <c r="A695" t="s">
        <v>248</v>
      </c>
      <c r="B695" t="s">
        <v>18</v>
      </c>
    </row>
    <row r="696" spans="1:2" x14ac:dyDescent="0.35">
      <c r="A696" t="s">
        <v>1327</v>
      </c>
      <c r="B696" t="s">
        <v>18</v>
      </c>
    </row>
    <row r="697" spans="1:2" x14ac:dyDescent="0.35">
      <c r="A697" t="s">
        <v>190</v>
      </c>
      <c r="B697" t="s">
        <v>18</v>
      </c>
    </row>
    <row r="698" spans="1:2" x14ac:dyDescent="0.35">
      <c r="A698" t="s">
        <v>1328</v>
      </c>
      <c r="B698" t="s">
        <v>18</v>
      </c>
    </row>
    <row r="699" spans="1:2" x14ac:dyDescent="0.35">
      <c r="A699" t="s">
        <v>1329</v>
      </c>
      <c r="B699" t="s">
        <v>18</v>
      </c>
    </row>
    <row r="700" spans="1:2" x14ac:dyDescent="0.35">
      <c r="A700" t="s">
        <v>225</v>
      </c>
      <c r="B700" t="s">
        <v>18</v>
      </c>
    </row>
    <row r="701" spans="1:2" x14ac:dyDescent="0.35">
      <c r="A701" t="s">
        <v>228</v>
      </c>
      <c r="B701" t="s">
        <v>18</v>
      </c>
    </row>
    <row r="702" spans="1:2" x14ac:dyDescent="0.35">
      <c r="A702" t="s">
        <v>1330</v>
      </c>
      <c r="B702" t="s">
        <v>18</v>
      </c>
    </row>
    <row r="703" spans="1:2" x14ac:dyDescent="0.35">
      <c r="A703" t="s">
        <v>502</v>
      </c>
      <c r="B703" t="s">
        <v>502</v>
      </c>
    </row>
    <row r="704" spans="1:2" x14ac:dyDescent="0.35">
      <c r="A704" t="s">
        <v>1331</v>
      </c>
      <c r="B704" t="s">
        <v>87</v>
      </c>
    </row>
    <row r="705" spans="1:2" x14ac:dyDescent="0.35">
      <c r="A705" t="s">
        <v>117</v>
      </c>
      <c r="B705" t="s">
        <v>117</v>
      </c>
    </row>
    <row r="706" spans="1:2" x14ac:dyDescent="0.35">
      <c r="A706" t="s">
        <v>619</v>
      </c>
      <c r="B706" t="s">
        <v>619</v>
      </c>
    </row>
    <row r="707" spans="1:2" x14ac:dyDescent="0.35">
      <c r="A707" t="s">
        <v>127</v>
      </c>
      <c r="B707" t="s">
        <v>127</v>
      </c>
    </row>
    <row r="708" spans="1:2" x14ac:dyDescent="0.35">
      <c r="A708" t="s">
        <v>134</v>
      </c>
      <c r="B708" t="s">
        <v>134</v>
      </c>
    </row>
    <row r="709" spans="1:2" x14ac:dyDescent="0.35">
      <c r="A709" t="s">
        <v>103</v>
      </c>
      <c r="B709" t="s">
        <v>382</v>
      </c>
    </row>
    <row r="710" spans="1:2" x14ac:dyDescent="0.35">
      <c r="A710" t="s">
        <v>97</v>
      </c>
      <c r="B710" t="s">
        <v>97</v>
      </c>
    </row>
    <row r="711" spans="1:2" x14ac:dyDescent="0.35">
      <c r="A711" t="s">
        <v>15</v>
      </c>
      <c r="B711" t="s">
        <v>15</v>
      </c>
    </row>
    <row r="712" spans="1:2" x14ac:dyDescent="0.35">
      <c r="A712" t="s">
        <v>1332</v>
      </c>
      <c r="B712" t="s">
        <v>1332</v>
      </c>
    </row>
    <row r="713" spans="1:2" x14ac:dyDescent="0.35">
      <c r="A713" t="s">
        <v>1333</v>
      </c>
      <c r="B713" t="s">
        <v>59</v>
      </c>
    </row>
    <row r="714" spans="1:2" x14ac:dyDescent="0.35">
      <c r="A714" t="s">
        <v>143</v>
      </c>
      <c r="B714" t="s">
        <v>143</v>
      </c>
    </row>
    <row r="715" spans="1:2" x14ac:dyDescent="0.35">
      <c r="A715" t="s">
        <v>161</v>
      </c>
      <c r="B715" t="s">
        <v>143</v>
      </c>
    </row>
    <row r="716" spans="1:2" x14ac:dyDescent="0.35">
      <c r="A716" t="s">
        <v>212</v>
      </c>
      <c r="B716" t="s">
        <v>143</v>
      </c>
    </row>
    <row r="717" spans="1:2" x14ac:dyDescent="0.35">
      <c r="A717" t="s">
        <v>1334</v>
      </c>
      <c r="B717" t="s">
        <v>143</v>
      </c>
    </row>
    <row r="718" spans="1:2" x14ac:dyDescent="0.35">
      <c r="A718" t="s">
        <v>1335</v>
      </c>
      <c r="B718" t="s">
        <v>143</v>
      </c>
    </row>
    <row r="719" spans="1:2" x14ac:dyDescent="0.35">
      <c r="A719" t="s">
        <v>1336</v>
      </c>
      <c r="B719" t="s">
        <v>143</v>
      </c>
    </row>
    <row r="720" spans="1:2" x14ac:dyDescent="0.35">
      <c r="A720" t="s">
        <v>275</v>
      </c>
      <c r="B720" t="s">
        <v>143</v>
      </c>
    </row>
    <row r="721" spans="1:2" x14ac:dyDescent="0.35">
      <c r="A721" t="s">
        <v>1337</v>
      </c>
      <c r="B721" t="s">
        <v>143</v>
      </c>
    </row>
    <row r="722" spans="1:2" x14ac:dyDescent="0.35">
      <c r="A722" t="s">
        <v>1338</v>
      </c>
      <c r="B722" t="s">
        <v>143</v>
      </c>
    </row>
    <row r="723" spans="1:2" x14ac:dyDescent="0.35">
      <c r="A723" t="s">
        <v>1339</v>
      </c>
      <c r="B723" t="s">
        <v>143</v>
      </c>
    </row>
    <row r="724" spans="1:2" x14ac:dyDescent="0.35">
      <c r="A724" t="s">
        <v>1340</v>
      </c>
      <c r="B724" t="s">
        <v>167</v>
      </c>
    </row>
    <row r="725" spans="1:2" x14ac:dyDescent="0.35">
      <c r="A725" t="s">
        <v>199</v>
      </c>
      <c r="B725" t="s">
        <v>143</v>
      </c>
    </row>
    <row r="726" spans="1:2" x14ac:dyDescent="0.35">
      <c r="A726" t="s">
        <v>150</v>
      </c>
      <c r="B726" t="s">
        <v>143</v>
      </c>
    </row>
    <row r="727" spans="1:2" x14ac:dyDescent="0.35">
      <c r="A727" t="s">
        <v>1341</v>
      </c>
      <c r="B727" t="s">
        <v>143</v>
      </c>
    </row>
    <row r="728" spans="1:2" x14ac:dyDescent="0.35">
      <c r="A728" t="s">
        <v>206</v>
      </c>
      <c r="B728" t="s">
        <v>143</v>
      </c>
    </row>
    <row r="729" spans="1:2" x14ac:dyDescent="0.35">
      <c r="A729" t="s">
        <v>224</v>
      </c>
      <c r="B729" t="s">
        <v>143</v>
      </c>
    </row>
    <row r="730" spans="1:2" x14ac:dyDescent="0.35">
      <c r="A730" t="s">
        <v>253</v>
      </c>
      <c r="B730" t="s">
        <v>143</v>
      </c>
    </row>
    <row r="731" spans="1:2" x14ac:dyDescent="0.35">
      <c r="A731" t="s">
        <v>1342</v>
      </c>
      <c r="B731" t="s">
        <v>143</v>
      </c>
    </row>
    <row r="732" spans="1:2" x14ac:dyDescent="0.35">
      <c r="A732" t="s">
        <v>272</v>
      </c>
      <c r="B732" t="s">
        <v>143</v>
      </c>
    </row>
    <row r="733" spans="1:2" x14ac:dyDescent="0.35">
      <c r="A733" t="s">
        <v>1343</v>
      </c>
      <c r="B733" t="s">
        <v>143</v>
      </c>
    </row>
    <row r="734" spans="1:2" x14ac:dyDescent="0.35">
      <c r="A734" t="s">
        <v>1344</v>
      </c>
      <c r="B734" t="s">
        <v>143</v>
      </c>
    </row>
    <row r="735" spans="1:2" x14ac:dyDescent="0.35">
      <c r="A735" t="s">
        <v>226</v>
      </c>
      <c r="B735" t="s">
        <v>143</v>
      </c>
    </row>
    <row r="736" spans="1:2" x14ac:dyDescent="0.35">
      <c r="A736" t="s">
        <v>223</v>
      </c>
      <c r="B736" t="s">
        <v>143</v>
      </c>
    </row>
    <row r="737" spans="1:2" x14ac:dyDescent="0.35">
      <c r="A737" t="s">
        <v>1345</v>
      </c>
      <c r="B737" t="s">
        <v>143</v>
      </c>
    </row>
    <row r="738" spans="1:2" x14ac:dyDescent="0.35">
      <c r="A738" t="s">
        <v>1346</v>
      </c>
      <c r="B738" t="s">
        <v>143</v>
      </c>
    </row>
    <row r="739" spans="1:2" x14ac:dyDescent="0.35">
      <c r="A739" t="s">
        <v>1347</v>
      </c>
      <c r="B739" t="s">
        <v>143</v>
      </c>
    </row>
    <row r="740" spans="1:2" x14ac:dyDescent="0.35">
      <c r="A740" t="s">
        <v>144</v>
      </c>
      <c r="B740" t="s">
        <v>143</v>
      </c>
    </row>
    <row r="741" spans="1:2" x14ac:dyDescent="0.35">
      <c r="A741" t="s">
        <v>145</v>
      </c>
      <c r="B741" t="s">
        <v>143</v>
      </c>
    </row>
    <row r="742" spans="1:2" x14ac:dyDescent="0.35">
      <c r="A742" t="s">
        <v>1348</v>
      </c>
      <c r="B742" t="s">
        <v>143</v>
      </c>
    </row>
    <row r="743" spans="1:2" x14ac:dyDescent="0.35">
      <c r="A743" t="s">
        <v>153</v>
      </c>
      <c r="B743" t="s">
        <v>153</v>
      </c>
    </row>
    <row r="744" spans="1:2" x14ac:dyDescent="0.35">
      <c r="A744" t="s">
        <v>156</v>
      </c>
      <c r="B744" t="s">
        <v>156</v>
      </c>
    </row>
    <row r="745" spans="1:2" x14ac:dyDescent="0.35">
      <c r="A745" t="s">
        <v>1349</v>
      </c>
      <c r="B745" t="s">
        <v>29</v>
      </c>
    </row>
    <row r="746" spans="1:2" x14ac:dyDescent="0.35">
      <c r="A746" t="s">
        <v>31</v>
      </c>
      <c r="B746" t="s">
        <v>31</v>
      </c>
    </row>
    <row r="747" spans="1:2" x14ac:dyDescent="0.35">
      <c r="A747" t="s">
        <v>540</v>
      </c>
      <c r="B747" t="s">
        <v>540</v>
      </c>
    </row>
    <row r="748" spans="1:2" x14ac:dyDescent="0.35">
      <c r="A748" t="s">
        <v>1350</v>
      </c>
      <c r="B748" t="s">
        <v>500</v>
      </c>
    </row>
    <row r="749" spans="1:2" x14ac:dyDescent="0.35">
      <c r="A749" t="s">
        <v>1351</v>
      </c>
      <c r="B749" t="s">
        <v>500</v>
      </c>
    </row>
    <row r="750" spans="1:2" x14ac:dyDescent="0.35">
      <c r="A750" t="s">
        <v>1352</v>
      </c>
      <c r="B750" t="s">
        <v>500</v>
      </c>
    </row>
    <row r="751" spans="1:2" x14ac:dyDescent="0.35">
      <c r="A751" t="s">
        <v>1353</v>
      </c>
      <c r="B751" t="s">
        <v>500</v>
      </c>
    </row>
    <row r="752" spans="1:2" x14ac:dyDescent="0.35">
      <c r="A752" t="s">
        <v>1354</v>
      </c>
      <c r="B752" t="s">
        <v>500</v>
      </c>
    </row>
    <row r="753" spans="1:2" x14ac:dyDescent="0.35">
      <c r="A753" t="s">
        <v>1355</v>
      </c>
      <c r="B753" t="s">
        <v>500</v>
      </c>
    </row>
    <row r="754" spans="1:2" x14ac:dyDescent="0.35">
      <c r="A754" t="s">
        <v>1356</v>
      </c>
      <c r="B754" t="s">
        <v>500</v>
      </c>
    </row>
    <row r="755" spans="1:2" x14ac:dyDescent="0.35">
      <c r="A755" t="s">
        <v>1357</v>
      </c>
      <c r="B755" t="s">
        <v>500</v>
      </c>
    </row>
    <row r="756" spans="1:2" x14ac:dyDescent="0.35">
      <c r="A756" t="s">
        <v>1358</v>
      </c>
      <c r="B756" t="s">
        <v>1358</v>
      </c>
    </row>
    <row r="757" spans="1:2" x14ac:dyDescent="0.35">
      <c r="A757" t="s">
        <v>1359</v>
      </c>
      <c r="B757" t="s">
        <v>1359</v>
      </c>
    </row>
    <row r="758" spans="1:2" x14ac:dyDescent="0.35">
      <c r="A758" t="s">
        <v>1360</v>
      </c>
      <c r="B758" t="s">
        <v>1360</v>
      </c>
    </row>
    <row r="759" spans="1:2" x14ac:dyDescent="0.35">
      <c r="A759" t="s">
        <v>30</v>
      </c>
      <c r="B759" t="s">
        <v>30</v>
      </c>
    </row>
    <row r="760" spans="1:2" x14ac:dyDescent="0.35">
      <c r="A760" t="s">
        <v>118</v>
      </c>
      <c r="B760" t="s">
        <v>118</v>
      </c>
    </row>
    <row r="761" spans="1:2" x14ac:dyDescent="0.35">
      <c r="A761" t="s">
        <v>569</v>
      </c>
      <c r="B761" t="s">
        <v>569</v>
      </c>
    </row>
    <row r="762" spans="1:2" x14ac:dyDescent="0.35">
      <c r="A762" t="s">
        <v>129</v>
      </c>
      <c r="B762" t="s">
        <v>129</v>
      </c>
    </row>
    <row r="763" spans="1:2" x14ac:dyDescent="0.35">
      <c r="A763" t="s">
        <v>498</v>
      </c>
      <c r="B763" t="s">
        <v>498</v>
      </c>
    </row>
    <row r="764" spans="1:2" x14ac:dyDescent="0.35">
      <c r="A764" t="s">
        <v>385</v>
      </c>
      <c r="B764" t="s">
        <v>385</v>
      </c>
    </row>
    <row r="765" spans="1:2" x14ac:dyDescent="0.35">
      <c r="A765" t="s">
        <v>61</v>
      </c>
      <c r="B765" t="s">
        <v>61</v>
      </c>
    </row>
    <row r="766" spans="1:2" x14ac:dyDescent="0.35">
      <c r="A766" t="s">
        <v>47</v>
      </c>
      <c r="B766" t="s">
        <v>47</v>
      </c>
    </row>
    <row r="767" spans="1:2" x14ac:dyDescent="0.35">
      <c r="A767" t="s">
        <v>203</v>
      </c>
      <c r="B767" t="s">
        <v>203</v>
      </c>
    </row>
    <row r="768" spans="1:2" x14ac:dyDescent="0.35">
      <c r="A768" t="s">
        <v>1361</v>
      </c>
      <c r="B768" t="s">
        <v>203</v>
      </c>
    </row>
    <row r="769" spans="1:2" x14ac:dyDescent="0.35">
      <c r="A769" t="s">
        <v>1362</v>
      </c>
      <c r="B769" t="s">
        <v>203</v>
      </c>
    </row>
    <row r="770" spans="1:2" x14ac:dyDescent="0.35">
      <c r="A770" t="s">
        <v>1363</v>
      </c>
      <c r="B770" t="s">
        <v>203</v>
      </c>
    </row>
    <row r="771" spans="1:2" x14ac:dyDescent="0.35">
      <c r="A771" t="s">
        <v>1364</v>
      </c>
      <c r="B771" t="s">
        <v>203</v>
      </c>
    </row>
    <row r="772" spans="1:2" x14ac:dyDescent="0.35">
      <c r="A772" t="s">
        <v>1365</v>
      </c>
      <c r="B772" t="s">
        <v>203</v>
      </c>
    </row>
    <row r="773" spans="1:2" x14ac:dyDescent="0.35">
      <c r="A773" t="s">
        <v>1366</v>
      </c>
      <c r="B773" t="s">
        <v>203</v>
      </c>
    </row>
    <row r="774" spans="1:2" x14ac:dyDescent="0.35">
      <c r="A774" t="s">
        <v>1367</v>
      </c>
      <c r="B774" t="s">
        <v>203</v>
      </c>
    </row>
    <row r="775" spans="1:2" x14ac:dyDescent="0.35">
      <c r="A775" t="s">
        <v>1368</v>
      </c>
      <c r="B775" t="s">
        <v>203</v>
      </c>
    </row>
    <row r="776" spans="1:2" x14ac:dyDescent="0.35">
      <c r="A776" t="s">
        <v>1369</v>
      </c>
      <c r="B776" t="s">
        <v>203</v>
      </c>
    </row>
    <row r="777" spans="1:2" x14ac:dyDescent="0.35">
      <c r="A777" t="s">
        <v>1370</v>
      </c>
      <c r="B777" t="s">
        <v>203</v>
      </c>
    </row>
    <row r="778" spans="1:2" x14ac:dyDescent="0.35">
      <c r="A778" t="s">
        <v>1371</v>
      </c>
      <c r="B778" t="s">
        <v>203</v>
      </c>
    </row>
    <row r="779" spans="1:2" x14ac:dyDescent="0.35">
      <c r="A779" t="s">
        <v>1372</v>
      </c>
      <c r="B779" t="s">
        <v>203</v>
      </c>
    </row>
    <row r="780" spans="1:2" x14ac:dyDescent="0.35">
      <c r="A780" t="s">
        <v>1373</v>
      </c>
      <c r="B780" t="s">
        <v>203</v>
      </c>
    </row>
    <row r="781" spans="1:2" x14ac:dyDescent="0.35">
      <c r="A781" t="s">
        <v>1374</v>
      </c>
      <c r="B781" t="s">
        <v>203</v>
      </c>
    </row>
    <row r="782" spans="1:2" x14ac:dyDescent="0.35">
      <c r="A782" t="s">
        <v>1375</v>
      </c>
      <c r="B782" t="s">
        <v>203</v>
      </c>
    </row>
    <row r="783" spans="1:2" x14ac:dyDescent="0.35">
      <c r="A783" t="s">
        <v>1376</v>
      </c>
      <c r="B783" t="s">
        <v>203</v>
      </c>
    </row>
    <row r="784" spans="1:2" x14ac:dyDescent="0.35">
      <c r="A784" t="s">
        <v>1377</v>
      </c>
      <c r="B784" t="s">
        <v>203</v>
      </c>
    </row>
    <row r="785" spans="1:2" x14ac:dyDescent="0.35">
      <c r="A785" t="s">
        <v>1378</v>
      </c>
      <c r="B785" t="s">
        <v>203</v>
      </c>
    </row>
    <row r="786" spans="1:2" x14ac:dyDescent="0.35">
      <c r="A786" t="s">
        <v>1379</v>
      </c>
      <c r="B786" t="s">
        <v>203</v>
      </c>
    </row>
    <row r="787" spans="1:2" x14ac:dyDescent="0.35">
      <c r="A787" t="s">
        <v>1380</v>
      </c>
      <c r="B787" t="s">
        <v>203</v>
      </c>
    </row>
    <row r="788" spans="1:2" x14ac:dyDescent="0.35">
      <c r="A788" t="s">
        <v>1381</v>
      </c>
      <c r="B788" t="s">
        <v>203</v>
      </c>
    </row>
    <row r="789" spans="1:2" x14ac:dyDescent="0.35">
      <c r="A789" t="s">
        <v>1382</v>
      </c>
      <c r="B789" t="s">
        <v>203</v>
      </c>
    </row>
    <row r="790" spans="1:2" x14ac:dyDescent="0.35">
      <c r="A790" t="s">
        <v>1383</v>
      </c>
      <c r="B790" t="s">
        <v>203</v>
      </c>
    </row>
    <row r="791" spans="1:2" x14ac:dyDescent="0.35">
      <c r="A791" t="s">
        <v>1384</v>
      </c>
      <c r="B791" t="s">
        <v>203</v>
      </c>
    </row>
    <row r="792" spans="1:2" x14ac:dyDescent="0.35">
      <c r="A792" t="s">
        <v>1385</v>
      </c>
      <c r="B792" t="s">
        <v>203</v>
      </c>
    </row>
    <row r="793" spans="1:2" x14ac:dyDescent="0.35">
      <c r="A793" t="s">
        <v>1386</v>
      </c>
      <c r="B793" t="s">
        <v>203</v>
      </c>
    </row>
    <row r="794" spans="1:2" x14ac:dyDescent="0.35">
      <c r="A794" t="s">
        <v>1387</v>
      </c>
      <c r="B794" t="s">
        <v>203</v>
      </c>
    </row>
    <row r="795" spans="1:2" x14ac:dyDescent="0.35">
      <c r="A795" t="s">
        <v>1388</v>
      </c>
      <c r="B795" t="s">
        <v>203</v>
      </c>
    </row>
    <row r="796" spans="1:2" x14ac:dyDescent="0.35">
      <c r="A796" t="s">
        <v>1389</v>
      </c>
      <c r="B796" t="s">
        <v>203</v>
      </c>
    </row>
    <row r="797" spans="1:2" x14ac:dyDescent="0.35">
      <c r="A797" t="s">
        <v>1390</v>
      </c>
      <c r="B797" t="s">
        <v>203</v>
      </c>
    </row>
    <row r="798" spans="1:2" x14ac:dyDescent="0.35">
      <c r="A798" t="s">
        <v>1391</v>
      </c>
      <c r="B798" t="s">
        <v>203</v>
      </c>
    </row>
    <row r="799" spans="1:2" x14ac:dyDescent="0.35">
      <c r="A799" t="s">
        <v>1392</v>
      </c>
      <c r="B799" t="s">
        <v>203</v>
      </c>
    </row>
    <row r="800" spans="1:2" x14ac:dyDescent="0.35">
      <c r="A800" t="s">
        <v>1393</v>
      </c>
      <c r="B800" t="s">
        <v>203</v>
      </c>
    </row>
    <row r="801" spans="1:2" x14ac:dyDescent="0.35">
      <c r="A801" t="s">
        <v>495</v>
      </c>
      <c r="B801" t="s">
        <v>495</v>
      </c>
    </row>
    <row r="802" spans="1:2" x14ac:dyDescent="0.35">
      <c r="A802" t="s">
        <v>1394</v>
      </c>
      <c r="B802" t="s">
        <v>495</v>
      </c>
    </row>
    <row r="803" spans="1:2" x14ac:dyDescent="0.35">
      <c r="A803" t="s">
        <v>1395</v>
      </c>
      <c r="B803" t="s">
        <v>495</v>
      </c>
    </row>
    <row r="804" spans="1:2" x14ac:dyDescent="0.35">
      <c r="A804" t="s">
        <v>1396</v>
      </c>
      <c r="B804" t="s">
        <v>495</v>
      </c>
    </row>
    <row r="805" spans="1:2" x14ac:dyDescent="0.35">
      <c r="A805" t="s">
        <v>1397</v>
      </c>
      <c r="B805" t="s">
        <v>495</v>
      </c>
    </row>
    <row r="806" spans="1:2" x14ac:dyDescent="0.35">
      <c r="A806" t="s">
        <v>1398</v>
      </c>
      <c r="B806" t="s">
        <v>495</v>
      </c>
    </row>
    <row r="807" spans="1:2" x14ac:dyDescent="0.35">
      <c r="A807" t="s">
        <v>1399</v>
      </c>
      <c r="B807" t="s">
        <v>495</v>
      </c>
    </row>
    <row r="808" spans="1:2" x14ac:dyDescent="0.35">
      <c r="A808" t="s">
        <v>1400</v>
      </c>
      <c r="B808" t="s">
        <v>495</v>
      </c>
    </row>
    <row r="809" spans="1:2" x14ac:dyDescent="0.35">
      <c r="A809" t="s">
        <v>1401</v>
      </c>
      <c r="B809" t="s">
        <v>495</v>
      </c>
    </row>
    <row r="810" spans="1:2" x14ac:dyDescent="0.35">
      <c r="A810" t="s">
        <v>1402</v>
      </c>
      <c r="B810" t="s">
        <v>495</v>
      </c>
    </row>
    <row r="811" spans="1:2" x14ac:dyDescent="0.35">
      <c r="A811" t="s">
        <v>1403</v>
      </c>
      <c r="B811" t="s">
        <v>495</v>
      </c>
    </row>
    <row r="812" spans="1:2" x14ac:dyDescent="0.35">
      <c r="A812" t="s">
        <v>1404</v>
      </c>
      <c r="B812" t="s">
        <v>495</v>
      </c>
    </row>
    <row r="813" spans="1:2" x14ac:dyDescent="0.35">
      <c r="A813" t="s">
        <v>1405</v>
      </c>
      <c r="B813" t="s">
        <v>495</v>
      </c>
    </row>
    <row r="814" spans="1:2" x14ac:dyDescent="0.35">
      <c r="A814" t="s">
        <v>1406</v>
      </c>
      <c r="B814" t="s">
        <v>495</v>
      </c>
    </row>
    <row r="815" spans="1:2" x14ac:dyDescent="0.35">
      <c r="A815" t="s">
        <v>1407</v>
      </c>
      <c r="B815" t="s">
        <v>495</v>
      </c>
    </row>
    <row r="816" spans="1:2" x14ac:dyDescent="0.35">
      <c r="A816" t="s">
        <v>1408</v>
      </c>
      <c r="B816" t="s">
        <v>495</v>
      </c>
    </row>
    <row r="817" spans="1:2" x14ac:dyDescent="0.35">
      <c r="A817" t="s">
        <v>1409</v>
      </c>
      <c r="B817" t="s">
        <v>495</v>
      </c>
    </row>
    <row r="818" spans="1:2" x14ac:dyDescent="0.35">
      <c r="A818" t="s">
        <v>1410</v>
      </c>
      <c r="B818" t="s">
        <v>495</v>
      </c>
    </row>
    <row r="819" spans="1:2" x14ac:dyDescent="0.35">
      <c r="A819" t="s">
        <v>1411</v>
      </c>
      <c r="B819" t="s">
        <v>495</v>
      </c>
    </row>
    <row r="820" spans="1:2" x14ac:dyDescent="0.35">
      <c r="A820" t="s">
        <v>1412</v>
      </c>
      <c r="B820" t="s">
        <v>495</v>
      </c>
    </row>
    <row r="821" spans="1:2" x14ac:dyDescent="0.35">
      <c r="A821" t="s">
        <v>1413</v>
      </c>
      <c r="B821" t="s">
        <v>495</v>
      </c>
    </row>
    <row r="822" spans="1:2" x14ac:dyDescent="0.35">
      <c r="A822" t="s">
        <v>130</v>
      </c>
      <c r="B822" t="s">
        <v>130</v>
      </c>
    </row>
    <row r="823" spans="1:2" x14ac:dyDescent="0.35">
      <c r="A823" t="s">
        <v>1414</v>
      </c>
      <c r="B823" t="s">
        <v>1414</v>
      </c>
    </row>
    <row r="824" spans="1:2" x14ac:dyDescent="0.35">
      <c r="A824" t="s">
        <v>58</v>
      </c>
      <c r="B824" t="s">
        <v>58</v>
      </c>
    </row>
    <row r="825" spans="1:2" x14ac:dyDescent="0.35">
      <c r="A825" t="s">
        <v>55</v>
      </c>
      <c r="B825" t="s">
        <v>55</v>
      </c>
    </row>
    <row r="826" spans="1:2" x14ac:dyDescent="0.35">
      <c r="A826" t="s">
        <v>529</v>
      </c>
      <c r="B826" t="s">
        <v>529</v>
      </c>
    </row>
    <row r="827" spans="1:2" x14ac:dyDescent="0.35">
      <c r="A827" t="s">
        <v>1415</v>
      </c>
      <c r="B827" t="s">
        <v>529</v>
      </c>
    </row>
    <row r="828" spans="1:2" x14ac:dyDescent="0.35">
      <c r="A828" t="s">
        <v>1416</v>
      </c>
      <c r="B828" t="s">
        <v>529</v>
      </c>
    </row>
    <row r="829" spans="1:2" x14ac:dyDescent="0.35">
      <c r="A829" t="s">
        <v>1417</v>
      </c>
      <c r="B829" t="s">
        <v>529</v>
      </c>
    </row>
    <row r="830" spans="1:2" x14ac:dyDescent="0.35">
      <c r="A830" t="s">
        <v>1418</v>
      </c>
      <c r="B830" t="s">
        <v>529</v>
      </c>
    </row>
    <row r="831" spans="1:2" x14ac:dyDescent="0.35">
      <c r="A831" t="s">
        <v>1419</v>
      </c>
      <c r="B831" t="s">
        <v>529</v>
      </c>
    </row>
    <row r="832" spans="1:2" x14ac:dyDescent="0.35">
      <c r="A832" t="s">
        <v>1420</v>
      </c>
      <c r="B832" t="s">
        <v>529</v>
      </c>
    </row>
    <row r="833" spans="1:2" x14ac:dyDescent="0.35">
      <c r="A833" t="s">
        <v>1421</v>
      </c>
      <c r="B833" t="s">
        <v>529</v>
      </c>
    </row>
    <row r="834" spans="1:2" x14ac:dyDescent="0.35">
      <c r="A834" t="s">
        <v>1422</v>
      </c>
      <c r="B834" t="s">
        <v>529</v>
      </c>
    </row>
    <row r="835" spans="1:2" x14ac:dyDescent="0.35">
      <c r="A835" t="s">
        <v>1423</v>
      </c>
      <c r="B835" t="s">
        <v>529</v>
      </c>
    </row>
    <row r="836" spans="1:2" x14ac:dyDescent="0.35">
      <c r="A836" t="s">
        <v>1424</v>
      </c>
      <c r="B836" t="s">
        <v>529</v>
      </c>
    </row>
    <row r="837" spans="1:2" x14ac:dyDescent="0.35">
      <c r="A837" t="s">
        <v>1425</v>
      </c>
      <c r="B837" t="s">
        <v>529</v>
      </c>
    </row>
    <row r="838" spans="1:2" x14ac:dyDescent="0.35">
      <c r="A838" t="s">
        <v>1426</v>
      </c>
      <c r="B838" t="s">
        <v>529</v>
      </c>
    </row>
    <row r="839" spans="1:2" x14ac:dyDescent="0.35">
      <c r="A839" t="s">
        <v>1427</v>
      </c>
      <c r="B839" t="s">
        <v>529</v>
      </c>
    </row>
    <row r="840" spans="1:2" x14ac:dyDescent="0.35">
      <c r="A840" t="s">
        <v>1428</v>
      </c>
      <c r="B840" t="s">
        <v>529</v>
      </c>
    </row>
    <row r="841" spans="1:2" x14ac:dyDescent="0.35">
      <c r="A841" t="s">
        <v>1429</v>
      </c>
      <c r="B841" t="s">
        <v>529</v>
      </c>
    </row>
    <row r="842" spans="1:2" x14ac:dyDescent="0.35">
      <c r="A842" t="s">
        <v>1430</v>
      </c>
      <c r="B842" t="s">
        <v>529</v>
      </c>
    </row>
    <row r="843" spans="1:2" x14ac:dyDescent="0.35">
      <c r="A843" t="s">
        <v>1431</v>
      </c>
      <c r="B843" t="s">
        <v>529</v>
      </c>
    </row>
    <row r="844" spans="1:2" x14ac:dyDescent="0.35">
      <c r="A844" t="s">
        <v>1432</v>
      </c>
      <c r="B844" t="s">
        <v>529</v>
      </c>
    </row>
    <row r="845" spans="1:2" x14ac:dyDescent="0.35">
      <c r="A845" t="s">
        <v>1433</v>
      </c>
      <c r="B845" t="s">
        <v>529</v>
      </c>
    </row>
    <row r="846" spans="1:2" x14ac:dyDescent="0.35">
      <c r="A846" t="s">
        <v>1434</v>
      </c>
      <c r="B846" t="s">
        <v>529</v>
      </c>
    </row>
    <row r="847" spans="1:2" x14ac:dyDescent="0.35">
      <c r="A847" t="s">
        <v>1435</v>
      </c>
      <c r="B847" t="s">
        <v>529</v>
      </c>
    </row>
    <row r="848" spans="1:2" x14ac:dyDescent="0.35">
      <c r="A848" t="s">
        <v>1436</v>
      </c>
      <c r="B848" t="s">
        <v>529</v>
      </c>
    </row>
    <row r="849" spans="1:2" x14ac:dyDescent="0.35">
      <c r="A849" t="s">
        <v>1437</v>
      </c>
      <c r="B849" t="s">
        <v>529</v>
      </c>
    </row>
    <row r="850" spans="1:2" x14ac:dyDescent="0.35">
      <c r="A850" t="s">
        <v>1438</v>
      </c>
      <c r="B850" t="s">
        <v>529</v>
      </c>
    </row>
    <row r="851" spans="1:2" x14ac:dyDescent="0.35">
      <c r="A851" t="s">
        <v>1439</v>
      </c>
      <c r="B851" t="s">
        <v>529</v>
      </c>
    </row>
    <row r="852" spans="1:2" x14ac:dyDescent="0.35">
      <c r="A852" t="s">
        <v>1440</v>
      </c>
      <c r="B852" t="s">
        <v>529</v>
      </c>
    </row>
    <row r="853" spans="1:2" x14ac:dyDescent="0.35">
      <c r="A853" t="s">
        <v>1441</v>
      </c>
      <c r="B853" t="s">
        <v>529</v>
      </c>
    </row>
    <row r="854" spans="1:2" x14ac:dyDescent="0.35">
      <c r="A854" t="s">
        <v>1442</v>
      </c>
      <c r="B854" t="s">
        <v>529</v>
      </c>
    </row>
    <row r="855" spans="1:2" x14ac:dyDescent="0.35">
      <c r="A855" t="s">
        <v>1443</v>
      </c>
      <c r="B855" t="s">
        <v>529</v>
      </c>
    </row>
    <row r="856" spans="1:2" x14ac:dyDescent="0.35">
      <c r="A856" t="s">
        <v>1444</v>
      </c>
      <c r="B856" t="s">
        <v>529</v>
      </c>
    </row>
    <row r="857" spans="1:2" x14ac:dyDescent="0.35">
      <c r="A857" t="s">
        <v>1445</v>
      </c>
      <c r="B857" t="s">
        <v>529</v>
      </c>
    </row>
    <row r="858" spans="1:2" x14ac:dyDescent="0.35">
      <c r="A858" t="s">
        <v>1446</v>
      </c>
      <c r="B858" t="s">
        <v>529</v>
      </c>
    </row>
    <row r="859" spans="1:2" x14ac:dyDescent="0.35">
      <c r="A859" t="s">
        <v>1447</v>
      </c>
      <c r="B859" t="s">
        <v>529</v>
      </c>
    </row>
    <row r="860" spans="1:2" x14ac:dyDescent="0.35">
      <c r="A860" t="s">
        <v>1448</v>
      </c>
      <c r="B860" t="s">
        <v>529</v>
      </c>
    </row>
    <row r="861" spans="1:2" x14ac:dyDescent="0.35">
      <c r="A861" t="s">
        <v>1449</v>
      </c>
      <c r="B861" t="s">
        <v>529</v>
      </c>
    </row>
    <row r="862" spans="1:2" x14ac:dyDescent="0.35">
      <c r="A862" t="s">
        <v>1450</v>
      </c>
      <c r="B862" t="s">
        <v>529</v>
      </c>
    </row>
    <row r="863" spans="1:2" x14ac:dyDescent="0.35">
      <c r="A863" t="s">
        <v>1451</v>
      </c>
      <c r="B863" t="s">
        <v>529</v>
      </c>
    </row>
    <row r="864" spans="1:2" x14ac:dyDescent="0.35">
      <c r="A864" t="s">
        <v>1452</v>
      </c>
      <c r="B864" t="s">
        <v>529</v>
      </c>
    </row>
    <row r="865" spans="1:2" x14ac:dyDescent="0.35">
      <c r="A865" t="s">
        <v>1453</v>
      </c>
      <c r="B865" t="s">
        <v>529</v>
      </c>
    </row>
    <row r="866" spans="1:2" x14ac:dyDescent="0.35">
      <c r="A866" t="s">
        <v>1454</v>
      </c>
      <c r="B866" t="s">
        <v>529</v>
      </c>
    </row>
    <row r="867" spans="1:2" x14ac:dyDescent="0.35">
      <c r="A867" t="s">
        <v>1455</v>
      </c>
      <c r="B867" t="s">
        <v>529</v>
      </c>
    </row>
    <row r="868" spans="1:2" x14ac:dyDescent="0.35">
      <c r="A868" t="s">
        <v>1456</v>
      </c>
      <c r="B868" t="s">
        <v>529</v>
      </c>
    </row>
    <row r="869" spans="1:2" x14ac:dyDescent="0.35">
      <c r="A869" t="s">
        <v>1457</v>
      </c>
      <c r="B869" t="s">
        <v>529</v>
      </c>
    </row>
    <row r="870" spans="1:2" x14ac:dyDescent="0.35">
      <c r="A870" t="s">
        <v>1458</v>
      </c>
      <c r="B870" t="s">
        <v>529</v>
      </c>
    </row>
    <row r="871" spans="1:2" x14ac:dyDescent="0.35">
      <c r="A871" t="s">
        <v>1459</v>
      </c>
      <c r="B871" t="s">
        <v>529</v>
      </c>
    </row>
    <row r="872" spans="1:2" x14ac:dyDescent="0.35">
      <c r="A872" t="s">
        <v>1460</v>
      </c>
      <c r="B872" t="s">
        <v>529</v>
      </c>
    </row>
    <row r="873" spans="1:2" x14ac:dyDescent="0.35">
      <c r="A873" t="s">
        <v>1461</v>
      </c>
      <c r="B873" t="s">
        <v>529</v>
      </c>
    </row>
    <row r="874" spans="1:2" x14ac:dyDescent="0.35">
      <c r="A874" t="s">
        <v>1462</v>
      </c>
      <c r="B874" t="s">
        <v>529</v>
      </c>
    </row>
    <row r="875" spans="1:2" x14ac:dyDescent="0.35">
      <c r="A875" t="s">
        <v>1463</v>
      </c>
      <c r="B875" t="s">
        <v>529</v>
      </c>
    </row>
    <row r="876" spans="1:2" x14ac:dyDescent="0.35">
      <c r="A876" t="s">
        <v>1464</v>
      </c>
      <c r="B876" t="s">
        <v>529</v>
      </c>
    </row>
    <row r="877" spans="1:2" x14ac:dyDescent="0.35">
      <c r="A877" t="s">
        <v>565</v>
      </c>
      <c r="B877" t="s">
        <v>565</v>
      </c>
    </row>
    <row r="878" spans="1:2" x14ac:dyDescent="0.35">
      <c r="A878" t="s">
        <v>1465</v>
      </c>
      <c r="B878" t="s">
        <v>565</v>
      </c>
    </row>
    <row r="879" spans="1:2" x14ac:dyDescent="0.35">
      <c r="A879" t="s">
        <v>1466</v>
      </c>
      <c r="B879" t="s">
        <v>565</v>
      </c>
    </row>
    <row r="880" spans="1:2" x14ac:dyDescent="0.35">
      <c r="A880" t="s">
        <v>1467</v>
      </c>
      <c r="B880" t="s">
        <v>565</v>
      </c>
    </row>
    <row r="881" spans="1:2" x14ac:dyDescent="0.35">
      <c r="A881" t="s">
        <v>1468</v>
      </c>
      <c r="B881" t="s">
        <v>565</v>
      </c>
    </row>
    <row r="882" spans="1:2" x14ac:dyDescent="0.35">
      <c r="A882" t="s">
        <v>1469</v>
      </c>
      <c r="B882" t="s">
        <v>565</v>
      </c>
    </row>
    <row r="883" spans="1:2" x14ac:dyDescent="0.35">
      <c r="A883" t="s">
        <v>1470</v>
      </c>
      <c r="B883" t="s">
        <v>565</v>
      </c>
    </row>
    <row r="884" spans="1:2" x14ac:dyDescent="0.35">
      <c r="A884" t="s">
        <v>1471</v>
      </c>
      <c r="B884" t="s">
        <v>565</v>
      </c>
    </row>
    <row r="885" spans="1:2" x14ac:dyDescent="0.35">
      <c r="A885" t="s">
        <v>1472</v>
      </c>
      <c r="B885" t="s">
        <v>565</v>
      </c>
    </row>
    <row r="886" spans="1:2" x14ac:dyDescent="0.35">
      <c r="A886" t="s">
        <v>1473</v>
      </c>
      <c r="B886" t="s">
        <v>565</v>
      </c>
    </row>
    <row r="887" spans="1:2" x14ac:dyDescent="0.35">
      <c r="A887" t="s">
        <v>1474</v>
      </c>
      <c r="B887" t="s">
        <v>565</v>
      </c>
    </row>
    <row r="888" spans="1:2" x14ac:dyDescent="0.35">
      <c r="A888" t="s">
        <v>1475</v>
      </c>
      <c r="B888" t="s">
        <v>565</v>
      </c>
    </row>
    <row r="889" spans="1:2" x14ac:dyDescent="0.35">
      <c r="A889" t="s">
        <v>1476</v>
      </c>
      <c r="B889" t="s">
        <v>565</v>
      </c>
    </row>
    <row r="890" spans="1:2" x14ac:dyDescent="0.35">
      <c r="A890" t="s">
        <v>1477</v>
      </c>
      <c r="B890" t="s">
        <v>565</v>
      </c>
    </row>
    <row r="891" spans="1:2" x14ac:dyDescent="0.35">
      <c r="A891" t="s">
        <v>1478</v>
      </c>
      <c r="B891" t="s">
        <v>565</v>
      </c>
    </row>
    <row r="892" spans="1:2" x14ac:dyDescent="0.35">
      <c r="A892" t="s">
        <v>1479</v>
      </c>
      <c r="B892" t="s">
        <v>565</v>
      </c>
    </row>
    <row r="893" spans="1:2" x14ac:dyDescent="0.35">
      <c r="A893" t="s">
        <v>1480</v>
      </c>
      <c r="B893" t="s">
        <v>565</v>
      </c>
    </row>
    <row r="894" spans="1:2" x14ac:dyDescent="0.35">
      <c r="A894" t="s">
        <v>241</v>
      </c>
      <c r="B894" t="s">
        <v>241</v>
      </c>
    </row>
    <row r="895" spans="1:2" x14ac:dyDescent="0.35">
      <c r="A895" t="s">
        <v>491</v>
      </c>
      <c r="B895" t="s">
        <v>491</v>
      </c>
    </row>
    <row r="896" spans="1:2" x14ac:dyDescent="0.35">
      <c r="A896" t="s">
        <v>173</v>
      </c>
      <c r="B896" t="s">
        <v>173</v>
      </c>
    </row>
    <row r="897" spans="1:2" x14ac:dyDescent="0.35">
      <c r="A897" t="s">
        <v>525</v>
      </c>
      <c r="B897" t="s">
        <v>525</v>
      </c>
    </row>
    <row r="898" spans="1:2" x14ac:dyDescent="0.35">
      <c r="A898" t="s">
        <v>1481</v>
      </c>
      <c r="B898" t="s">
        <v>489</v>
      </c>
    </row>
    <row r="899" spans="1:2" x14ac:dyDescent="0.35">
      <c r="A899" t="s">
        <v>1482</v>
      </c>
      <c r="B899" t="s">
        <v>489</v>
      </c>
    </row>
    <row r="900" spans="1:2" x14ac:dyDescent="0.35">
      <c r="A900" t="s">
        <v>1483</v>
      </c>
      <c r="B900" t="s">
        <v>489</v>
      </c>
    </row>
    <row r="901" spans="1:2" x14ac:dyDescent="0.35">
      <c r="A901" t="s">
        <v>1484</v>
      </c>
      <c r="B901" t="s">
        <v>489</v>
      </c>
    </row>
    <row r="902" spans="1:2" x14ac:dyDescent="0.35">
      <c r="A902" t="s">
        <v>1485</v>
      </c>
      <c r="B902" t="s">
        <v>489</v>
      </c>
    </row>
    <row r="903" spans="1:2" x14ac:dyDescent="0.35">
      <c r="A903" t="s">
        <v>1486</v>
      </c>
      <c r="B903" t="s">
        <v>489</v>
      </c>
    </row>
    <row r="904" spans="1:2" x14ac:dyDescent="0.35">
      <c r="A904" t="s">
        <v>1487</v>
      </c>
      <c r="B904" t="s">
        <v>489</v>
      </c>
    </row>
    <row r="905" spans="1:2" x14ac:dyDescent="0.35">
      <c r="A905" t="s">
        <v>1488</v>
      </c>
      <c r="B905" t="s">
        <v>489</v>
      </c>
    </row>
    <row r="906" spans="1:2" x14ac:dyDescent="0.35">
      <c r="A906" t="s">
        <v>1489</v>
      </c>
      <c r="B906" t="s">
        <v>489</v>
      </c>
    </row>
    <row r="907" spans="1:2" x14ac:dyDescent="0.35">
      <c r="A907" t="s">
        <v>1490</v>
      </c>
      <c r="B907" t="s">
        <v>489</v>
      </c>
    </row>
    <row r="908" spans="1:2" x14ac:dyDescent="0.35">
      <c r="A908" t="s">
        <v>1491</v>
      </c>
      <c r="B908" t="s">
        <v>489</v>
      </c>
    </row>
    <row r="909" spans="1:2" x14ac:dyDescent="0.35">
      <c r="A909" t="s">
        <v>1492</v>
      </c>
      <c r="B909" t="s">
        <v>489</v>
      </c>
    </row>
    <row r="910" spans="1:2" x14ac:dyDescent="0.35">
      <c r="A910" t="s">
        <v>1493</v>
      </c>
      <c r="B910" t="s">
        <v>489</v>
      </c>
    </row>
    <row r="911" spans="1:2" x14ac:dyDescent="0.35">
      <c r="A911" t="s">
        <v>1494</v>
      </c>
      <c r="B911" t="s">
        <v>489</v>
      </c>
    </row>
    <row r="912" spans="1:2" x14ac:dyDescent="0.35">
      <c r="A912" t="s">
        <v>1495</v>
      </c>
      <c r="B912" t="s">
        <v>489</v>
      </c>
    </row>
    <row r="913" spans="1:2" x14ac:dyDescent="0.35">
      <c r="A913" t="s">
        <v>1496</v>
      </c>
      <c r="B913" t="s">
        <v>489</v>
      </c>
    </row>
    <row r="914" spans="1:2" x14ac:dyDescent="0.35">
      <c r="A914" t="s">
        <v>1497</v>
      </c>
      <c r="B914" t="s">
        <v>489</v>
      </c>
    </row>
    <row r="915" spans="1:2" x14ac:dyDescent="0.35">
      <c r="A915" t="s">
        <v>1498</v>
      </c>
      <c r="B915" t="s">
        <v>489</v>
      </c>
    </row>
    <row r="916" spans="1:2" x14ac:dyDescent="0.35">
      <c r="A916" t="s">
        <v>1499</v>
      </c>
      <c r="B916" t="s">
        <v>489</v>
      </c>
    </row>
    <row r="917" spans="1:2" x14ac:dyDescent="0.35">
      <c r="A917" t="s">
        <v>1500</v>
      </c>
      <c r="B917" t="s">
        <v>489</v>
      </c>
    </row>
    <row r="918" spans="1:2" x14ac:dyDescent="0.35">
      <c r="A918" t="s">
        <v>1501</v>
      </c>
      <c r="B918" t="s">
        <v>489</v>
      </c>
    </row>
    <row r="919" spans="1:2" x14ac:dyDescent="0.35">
      <c r="A919" t="s">
        <v>271</v>
      </c>
      <c r="B919" t="s">
        <v>271</v>
      </c>
    </row>
    <row r="920" spans="1:2" x14ac:dyDescent="0.35">
      <c r="A920" t="s">
        <v>737</v>
      </c>
      <c r="B920" t="s">
        <v>737</v>
      </c>
    </row>
    <row r="921" spans="1:2" x14ac:dyDescent="0.35">
      <c r="A921" t="s">
        <v>1502</v>
      </c>
      <c r="B921" t="s">
        <v>1502</v>
      </c>
    </row>
    <row r="922" spans="1:2" x14ac:dyDescent="0.35">
      <c r="A922" t="s">
        <v>355</v>
      </c>
      <c r="B922" t="s">
        <v>355</v>
      </c>
    </row>
    <row r="923" spans="1:2" x14ac:dyDescent="0.35">
      <c r="A923" t="s">
        <v>230</v>
      </c>
      <c r="B923" t="s">
        <v>230</v>
      </c>
    </row>
    <row r="924" spans="1:2" x14ac:dyDescent="0.35">
      <c r="A924" t="s">
        <v>660</v>
      </c>
      <c r="B924" t="s">
        <v>660</v>
      </c>
    </row>
    <row r="925" spans="1:2" x14ac:dyDescent="0.35">
      <c r="A925" t="s">
        <v>735</v>
      </c>
      <c r="B925" t="s">
        <v>735</v>
      </c>
    </row>
    <row r="926" spans="1:2" x14ac:dyDescent="0.35">
      <c r="A926" t="s">
        <v>231</v>
      </c>
      <c r="B926" t="s">
        <v>231</v>
      </c>
    </row>
    <row r="927" spans="1:2" x14ac:dyDescent="0.35">
      <c r="A927" t="s">
        <v>1503</v>
      </c>
      <c r="B927" t="s">
        <v>231</v>
      </c>
    </row>
    <row r="928" spans="1:2" x14ac:dyDescent="0.35">
      <c r="A928" t="s">
        <v>1504</v>
      </c>
      <c r="B928" t="s">
        <v>231</v>
      </c>
    </row>
    <row r="929" spans="1:2" x14ac:dyDescent="0.35">
      <c r="A929" t="s">
        <v>1505</v>
      </c>
      <c r="B929" t="s">
        <v>231</v>
      </c>
    </row>
    <row r="930" spans="1:2" x14ac:dyDescent="0.35">
      <c r="A930" t="s">
        <v>1506</v>
      </c>
      <c r="B930" t="s">
        <v>231</v>
      </c>
    </row>
    <row r="931" spans="1:2" x14ac:dyDescent="0.35">
      <c r="A931" t="s">
        <v>1507</v>
      </c>
      <c r="B931" t="s">
        <v>231</v>
      </c>
    </row>
    <row r="932" spans="1:2" x14ac:dyDescent="0.35">
      <c r="A932" t="s">
        <v>1508</v>
      </c>
      <c r="B932" t="s">
        <v>231</v>
      </c>
    </row>
    <row r="933" spans="1:2" x14ac:dyDescent="0.35">
      <c r="A933" t="s">
        <v>1509</v>
      </c>
      <c r="B933" t="s">
        <v>231</v>
      </c>
    </row>
    <row r="934" spans="1:2" x14ac:dyDescent="0.35">
      <c r="A934" t="s">
        <v>194</v>
      </c>
      <c r="B934" t="s">
        <v>194</v>
      </c>
    </row>
    <row r="935" spans="1:2" x14ac:dyDescent="0.35">
      <c r="A935" t="s">
        <v>19</v>
      </c>
      <c r="B935" t="s">
        <v>637</v>
      </c>
    </row>
    <row r="936" spans="1:2" x14ac:dyDescent="0.35">
      <c r="A936" t="s">
        <v>634</v>
      </c>
      <c r="B936" t="s">
        <v>634</v>
      </c>
    </row>
    <row r="937" spans="1:2" x14ac:dyDescent="0.35">
      <c r="A937" t="s">
        <v>22</v>
      </c>
      <c r="B937" t="s">
        <v>22</v>
      </c>
    </row>
    <row r="938" spans="1:2" x14ac:dyDescent="0.35">
      <c r="A938" t="s">
        <v>67</v>
      </c>
      <c r="B938" t="s">
        <v>67</v>
      </c>
    </row>
    <row r="939" spans="1:2" x14ac:dyDescent="0.35">
      <c r="A939" t="s">
        <v>628</v>
      </c>
      <c r="B939" t="s">
        <v>628</v>
      </c>
    </row>
    <row r="940" spans="1:2" x14ac:dyDescent="0.35">
      <c r="A940" t="s">
        <v>105</v>
      </c>
      <c r="B940" t="s">
        <v>105</v>
      </c>
    </row>
    <row r="941" spans="1:2" x14ac:dyDescent="0.35">
      <c r="A941" t="s">
        <v>401</v>
      </c>
      <c r="B941" t="s">
        <v>401</v>
      </c>
    </row>
    <row r="942" spans="1:2" x14ac:dyDescent="0.35">
      <c r="A942" t="s">
        <v>487</v>
      </c>
      <c r="B942" t="s">
        <v>487</v>
      </c>
    </row>
    <row r="943" spans="1:2" x14ac:dyDescent="0.35">
      <c r="A943" t="s">
        <v>1510</v>
      </c>
      <c r="B943" t="s">
        <v>473</v>
      </c>
    </row>
    <row r="944" spans="1:2" x14ac:dyDescent="0.35">
      <c r="A944" t="s">
        <v>1511</v>
      </c>
      <c r="B944" t="s">
        <v>473</v>
      </c>
    </row>
    <row r="945" spans="1:2" x14ac:dyDescent="0.35">
      <c r="A945" t="s">
        <v>1512</v>
      </c>
      <c r="B945" t="s">
        <v>473</v>
      </c>
    </row>
    <row r="946" spans="1:2" x14ac:dyDescent="0.35">
      <c r="A946" t="s">
        <v>1513</v>
      </c>
      <c r="B946" t="s">
        <v>473</v>
      </c>
    </row>
    <row r="947" spans="1:2" x14ac:dyDescent="0.35">
      <c r="A947" t="s">
        <v>1514</v>
      </c>
      <c r="B947" t="s">
        <v>473</v>
      </c>
    </row>
    <row r="948" spans="1:2" x14ac:dyDescent="0.35">
      <c r="A948" t="s">
        <v>1515</v>
      </c>
      <c r="B948" t="s">
        <v>473</v>
      </c>
    </row>
    <row r="949" spans="1:2" x14ac:dyDescent="0.35">
      <c r="A949" t="s">
        <v>1516</v>
      </c>
      <c r="B949" t="s">
        <v>473</v>
      </c>
    </row>
    <row r="950" spans="1:2" x14ac:dyDescent="0.35">
      <c r="A950" t="s">
        <v>1517</v>
      </c>
      <c r="B950" t="s">
        <v>473</v>
      </c>
    </row>
    <row r="951" spans="1:2" x14ac:dyDescent="0.35">
      <c r="A951" t="s">
        <v>1518</v>
      </c>
      <c r="B951" t="s">
        <v>473</v>
      </c>
    </row>
    <row r="952" spans="1:2" x14ac:dyDescent="0.35">
      <c r="A952" t="s">
        <v>1519</v>
      </c>
      <c r="B952" t="s">
        <v>473</v>
      </c>
    </row>
    <row r="953" spans="1:2" x14ac:dyDescent="0.35">
      <c r="A953" t="s">
        <v>1520</v>
      </c>
      <c r="B953" t="s">
        <v>473</v>
      </c>
    </row>
    <row r="954" spans="1:2" x14ac:dyDescent="0.35">
      <c r="A954" t="s">
        <v>1521</v>
      </c>
      <c r="B954" t="s">
        <v>473</v>
      </c>
    </row>
    <row r="955" spans="1:2" x14ac:dyDescent="0.35">
      <c r="A955" t="s">
        <v>1522</v>
      </c>
      <c r="B955" t="s">
        <v>473</v>
      </c>
    </row>
    <row r="956" spans="1:2" x14ac:dyDescent="0.35">
      <c r="A956" t="s">
        <v>1523</v>
      </c>
      <c r="B956" t="s">
        <v>473</v>
      </c>
    </row>
    <row r="957" spans="1:2" x14ac:dyDescent="0.35">
      <c r="A957" t="s">
        <v>1524</v>
      </c>
      <c r="B957" t="s">
        <v>473</v>
      </c>
    </row>
    <row r="958" spans="1:2" x14ac:dyDescent="0.35">
      <c r="A958" t="s">
        <v>1525</v>
      </c>
      <c r="B958" t="s">
        <v>473</v>
      </c>
    </row>
    <row r="959" spans="1:2" x14ac:dyDescent="0.35">
      <c r="A959" t="s">
        <v>1526</v>
      </c>
      <c r="B959" t="s">
        <v>473</v>
      </c>
    </row>
    <row r="960" spans="1:2" x14ac:dyDescent="0.35">
      <c r="A960" t="s">
        <v>1527</v>
      </c>
      <c r="B960" t="s">
        <v>473</v>
      </c>
    </row>
    <row r="961" spans="1:2" x14ac:dyDescent="0.35">
      <c r="A961" t="s">
        <v>1528</v>
      </c>
      <c r="B961" t="s">
        <v>473</v>
      </c>
    </row>
    <row r="962" spans="1:2" x14ac:dyDescent="0.35">
      <c r="A962" t="s">
        <v>1529</v>
      </c>
      <c r="B962" t="s">
        <v>473</v>
      </c>
    </row>
    <row r="963" spans="1:2" x14ac:dyDescent="0.35">
      <c r="A963" t="s">
        <v>1530</v>
      </c>
      <c r="B963" t="s">
        <v>473</v>
      </c>
    </row>
    <row r="964" spans="1:2" x14ac:dyDescent="0.35">
      <c r="A964" t="s">
        <v>1531</v>
      </c>
      <c r="B964" t="s">
        <v>473</v>
      </c>
    </row>
    <row r="965" spans="1:2" x14ac:dyDescent="0.35">
      <c r="A965" t="s">
        <v>1532</v>
      </c>
      <c r="B965" t="s">
        <v>473</v>
      </c>
    </row>
    <row r="966" spans="1:2" x14ac:dyDescent="0.35">
      <c r="A966" t="s">
        <v>1533</v>
      </c>
      <c r="B966" t="s">
        <v>473</v>
      </c>
    </row>
    <row r="967" spans="1:2" x14ac:dyDescent="0.35">
      <c r="A967" t="s">
        <v>1534</v>
      </c>
      <c r="B967" t="s">
        <v>473</v>
      </c>
    </row>
    <row r="968" spans="1:2" x14ac:dyDescent="0.35">
      <c r="A968" t="s">
        <v>1535</v>
      </c>
      <c r="B968" t="s">
        <v>473</v>
      </c>
    </row>
    <row r="969" spans="1:2" x14ac:dyDescent="0.35">
      <c r="A969" t="s">
        <v>1536</v>
      </c>
      <c r="B969" t="s">
        <v>473</v>
      </c>
    </row>
    <row r="970" spans="1:2" x14ac:dyDescent="0.35">
      <c r="A970" t="s">
        <v>1537</v>
      </c>
      <c r="B970" t="s">
        <v>473</v>
      </c>
    </row>
    <row r="971" spans="1:2" x14ac:dyDescent="0.35">
      <c r="A971" t="s">
        <v>1538</v>
      </c>
      <c r="B971" t="s">
        <v>473</v>
      </c>
    </row>
    <row r="972" spans="1:2" x14ac:dyDescent="0.35">
      <c r="A972" t="s">
        <v>1539</v>
      </c>
      <c r="B972" t="s">
        <v>473</v>
      </c>
    </row>
    <row r="973" spans="1:2" x14ac:dyDescent="0.35">
      <c r="A973" t="s">
        <v>1540</v>
      </c>
      <c r="B973" t="s">
        <v>473</v>
      </c>
    </row>
    <row r="974" spans="1:2" x14ac:dyDescent="0.35">
      <c r="A974" t="s">
        <v>1541</v>
      </c>
      <c r="B974" t="s">
        <v>473</v>
      </c>
    </row>
    <row r="975" spans="1:2" x14ac:dyDescent="0.35">
      <c r="A975" t="s">
        <v>1542</v>
      </c>
      <c r="B975" t="s">
        <v>473</v>
      </c>
    </row>
    <row r="976" spans="1:2" x14ac:dyDescent="0.35">
      <c r="A976" t="s">
        <v>1543</v>
      </c>
      <c r="B976" t="s">
        <v>473</v>
      </c>
    </row>
    <row r="977" spans="1:2" x14ac:dyDescent="0.35">
      <c r="A977" t="s">
        <v>1544</v>
      </c>
      <c r="B977" t="s">
        <v>473</v>
      </c>
    </row>
    <row r="978" spans="1:2" x14ac:dyDescent="0.35">
      <c r="A978" t="s">
        <v>1545</v>
      </c>
      <c r="B978" t="s">
        <v>473</v>
      </c>
    </row>
    <row r="979" spans="1:2" x14ac:dyDescent="0.35">
      <c r="A979" t="s">
        <v>1546</v>
      </c>
      <c r="B979" t="s">
        <v>473</v>
      </c>
    </row>
    <row r="980" spans="1:2" x14ac:dyDescent="0.35">
      <c r="A980" t="s">
        <v>1547</v>
      </c>
      <c r="B980" t="s">
        <v>473</v>
      </c>
    </row>
    <row r="981" spans="1:2" x14ac:dyDescent="0.35">
      <c r="A981" t="s">
        <v>1548</v>
      </c>
      <c r="B981" t="s">
        <v>473</v>
      </c>
    </row>
    <row r="982" spans="1:2" x14ac:dyDescent="0.35">
      <c r="A982" t="s">
        <v>1549</v>
      </c>
      <c r="B982" t="s">
        <v>473</v>
      </c>
    </row>
    <row r="983" spans="1:2" x14ac:dyDescent="0.35">
      <c r="A983" t="s">
        <v>1550</v>
      </c>
      <c r="B983" t="s">
        <v>473</v>
      </c>
    </row>
    <row r="984" spans="1:2" x14ac:dyDescent="0.35">
      <c r="A984" t="s">
        <v>1551</v>
      </c>
      <c r="B984" t="s">
        <v>473</v>
      </c>
    </row>
    <row r="985" spans="1:2" x14ac:dyDescent="0.35">
      <c r="A985" t="s">
        <v>48</v>
      </c>
      <c r="B985" t="s">
        <v>48</v>
      </c>
    </row>
    <row r="986" spans="1:2" x14ac:dyDescent="0.35">
      <c r="A986" t="s">
        <v>244</v>
      </c>
      <c r="B986" t="s">
        <v>244</v>
      </c>
    </row>
    <row r="987" spans="1:2" x14ac:dyDescent="0.35">
      <c r="A987" t="s">
        <v>157</v>
      </c>
      <c r="B987" t="s">
        <v>157</v>
      </c>
    </row>
    <row r="988" spans="1:2" x14ac:dyDescent="0.35">
      <c r="A988" t="s">
        <v>13</v>
      </c>
      <c r="B988" t="s">
        <v>13</v>
      </c>
    </row>
    <row r="989" spans="1:2" x14ac:dyDescent="0.35">
      <c r="A989" t="s">
        <v>14</v>
      </c>
      <c r="B989" t="s">
        <v>14</v>
      </c>
    </row>
    <row r="990" spans="1:2" x14ac:dyDescent="0.35">
      <c r="A990" t="s">
        <v>76</v>
      </c>
      <c r="B990" t="s">
        <v>76</v>
      </c>
    </row>
    <row r="991" spans="1:2" x14ac:dyDescent="0.35">
      <c r="A991" t="s">
        <v>132</v>
      </c>
      <c r="B991" t="s">
        <v>132</v>
      </c>
    </row>
    <row r="992" spans="1:2" x14ac:dyDescent="0.35">
      <c r="A992" t="s">
        <v>399</v>
      </c>
      <c r="B992" t="s">
        <v>399</v>
      </c>
    </row>
    <row r="993" spans="1:2" x14ac:dyDescent="0.35">
      <c r="A993" t="s">
        <v>1552</v>
      </c>
      <c r="B993" t="s">
        <v>397</v>
      </c>
    </row>
    <row r="994" spans="1:2" x14ac:dyDescent="0.35">
      <c r="A994" t="s">
        <v>1553</v>
      </c>
      <c r="B994" t="s">
        <v>397</v>
      </c>
    </row>
    <row r="995" spans="1:2" x14ac:dyDescent="0.35">
      <c r="A995" t="s">
        <v>1554</v>
      </c>
      <c r="B995" t="s">
        <v>397</v>
      </c>
    </row>
    <row r="996" spans="1:2" x14ac:dyDescent="0.35">
      <c r="A996" t="s">
        <v>1555</v>
      </c>
      <c r="B996" t="s">
        <v>397</v>
      </c>
    </row>
    <row r="997" spans="1:2" x14ac:dyDescent="0.35">
      <c r="A997" t="s">
        <v>1556</v>
      </c>
      <c r="B997" t="s">
        <v>397</v>
      </c>
    </row>
    <row r="998" spans="1:2" x14ac:dyDescent="0.35">
      <c r="A998" t="s">
        <v>1557</v>
      </c>
      <c r="B998" t="s">
        <v>397</v>
      </c>
    </row>
    <row r="999" spans="1:2" x14ac:dyDescent="0.35">
      <c r="A999" t="s">
        <v>1558</v>
      </c>
      <c r="B999" t="s">
        <v>397</v>
      </c>
    </row>
    <row r="1000" spans="1:2" x14ac:dyDescent="0.35">
      <c r="A1000" t="s">
        <v>1559</v>
      </c>
      <c r="B1000" t="s">
        <v>397</v>
      </c>
    </row>
    <row r="1001" spans="1:2" x14ac:dyDescent="0.35">
      <c r="A1001" t="s">
        <v>1560</v>
      </c>
      <c r="B1001" t="s">
        <v>397</v>
      </c>
    </row>
    <row r="1002" spans="1:2" x14ac:dyDescent="0.35">
      <c r="A1002" t="s">
        <v>113</v>
      </c>
      <c r="B1002" t="s">
        <v>113</v>
      </c>
    </row>
    <row r="1003" spans="1:2" x14ac:dyDescent="0.35">
      <c r="A1003" t="s">
        <v>125</v>
      </c>
      <c r="B1003" t="s">
        <v>125</v>
      </c>
    </row>
    <row r="1004" spans="1:2" x14ac:dyDescent="0.35">
      <c r="A1004" t="s">
        <v>178</v>
      </c>
      <c r="B1004" t="s">
        <v>178</v>
      </c>
    </row>
    <row r="1005" spans="1:2" x14ac:dyDescent="0.35">
      <c r="A1005" t="s">
        <v>273</v>
      </c>
      <c r="B1005" t="s">
        <v>273</v>
      </c>
    </row>
    <row r="1006" spans="1:2" x14ac:dyDescent="0.35">
      <c r="A1006" t="s">
        <v>34</v>
      </c>
      <c r="B1006" t="s">
        <v>34</v>
      </c>
    </row>
    <row r="1007" spans="1:2" x14ac:dyDescent="0.35">
      <c r="A1007" t="s">
        <v>581</v>
      </c>
      <c r="B1007" t="s">
        <v>581</v>
      </c>
    </row>
    <row r="1008" spans="1:2" x14ac:dyDescent="0.35">
      <c r="A1008" t="s">
        <v>90</v>
      </c>
      <c r="B1008" t="s">
        <v>90</v>
      </c>
    </row>
    <row r="1009" spans="1:2" x14ac:dyDescent="0.35">
      <c r="A1009" t="s">
        <v>395</v>
      </c>
      <c r="B1009" t="s">
        <v>395</v>
      </c>
    </row>
    <row r="1010" spans="1:2" x14ac:dyDescent="0.35">
      <c r="A1010" t="s">
        <v>1561</v>
      </c>
      <c r="B1010" t="s">
        <v>395</v>
      </c>
    </row>
    <row r="1011" spans="1:2" x14ac:dyDescent="0.35">
      <c r="A1011" t="s">
        <v>1562</v>
      </c>
      <c r="B1011" t="s">
        <v>395</v>
      </c>
    </row>
    <row r="1012" spans="1:2" x14ac:dyDescent="0.35">
      <c r="A1012" t="s">
        <v>1563</v>
      </c>
      <c r="B1012" t="s">
        <v>395</v>
      </c>
    </row>
    <row r="1013" spans="1:2" x14ac:dyDescent="0.35">
      <c r="A1013" t="s">
        <v>1564</v>
      </c>
      <c r="B1013" t="s">
        <v>395</v>
      </c>
    </row>
    <row r="1014" spans="1:2" x14ac:dyDescent="0.35">
      <c r="A1014" t="s">
        <v>1565</v>
      </c>
      <c r="B1014" t="s">
        <v>395</v>
      </c>
    </row>
    <row r="1015" spans="1:2" x14ac:dyDescent="0.35">
      <c r="A1015" t="s">
        <v>1566</v>
      </c>
      <c r="B1015" t="s">
        <v>395</v>
      </c>
    </row>
    <row r="1016" spans="1:2" x14ac:dyDescent="0.35">
      <c r="A1016" t="s">
        <v>1567</v>
      </c>
      <c r="B1016" t="s">
        <v>395</v>
      </c>
    </row>
    <row r="1017" spans="1:2" x14ac:dyDescent="0.35">
      <c r="A1017" t="s">
        <v>1568</v>
      </c>
      <c r="B1017" t="s">
        <v>395</v>
      </c>
    </row>
    <row r="1018" spans="1:2" x14ac:dyDescent="0.35">
      <c r="A1018" t="s">
        <v>1569</v>
      </c>
      <c r="B1018" t="s">
        <v>395</v>
      </c>
    </row>
    <row r="1019" spans="1:2" x14ac:dyDescent="0.35">
      <c r="A1019" t="s">
        <v>1570</v>
      </c>
      <c r="B1019" t="s">
        <v>395</v>
      </c>
    </row>
    <row r="1020" spans="1:2" x14ac:dyDescent="0.35">
      <c r="A1020" t="s">
        <v>1571</v>
      </c>
      <c r="B1020" t="s">
        <v>395</v>
      </c>
    </row>
    <row r="1021" spans="1:2" x14ac:dyDescent="0.35">
      <c r="A1021" t="s">
        <v>1572</v>
      </c>
      <c r="B1021" t="s">
        <v>395</v>
      </c>
    </row>
    <row r="1022" spans="1:2" x14ac:dyDescent="0.35">
      <c r="A1022" t="s">
        <v>1573</v>
      </c>
      <c r="B1022" t="s">
        <v>395</v>
      </c>
    </row>
    <row r="1023" spans="1:2" x14ac:dyDescent="0.35">
      <c r="A1023" t="s">
        <v>1574</v>
      </c>
      <c r="B1023" t="s">
        <v>395</v>
      </c>
    </row>
    <row r="1024" spans="1:2" x14ac:dyDescent="0.35">
      <c r="A1024" t="s">
        <v>1575</v>
      </c>
      <c r="B1024" t="s">
        <v>395</v>
      </c>
    </row>
    <row r="1025" spans="1:2" x14ac:dyDescent="0.35">
      <c r="A1025" t="s">
        <v>1576</v>
      </c>
      <c r="B1025" t="s">
        <v>395</v>
      </c>
    </row>
    <row r="1026" spans="1:2" x14ac:dyDescent="0.35">
      <c r="A1026" t="s">
        <v>1577</v>
      </c>
      <c r="B1026" t="s">
        <v>395</v>
      </c>
    </row>
    <row r="1027" spans="1:2" x14ac:dyDescent="0.35">
      <c r="A1027" t="s">
        <v>1578</v>
      </c>
      <c r="B1027" t="s">
        <v>395</v>
      </c>
    </row>
    <row r="1028" spans="1:2" x14ac:dyDescent="0.35">
      <c r="A1028" t="s">
        <v>1579</v>
      </c>
      <c r="B1028" t="s">
        <v>395</v>
      </c>
    </row>
    <row r="1029" spans="1:2" x14ac:dyDescent="0.35">
      <c r="A1029" t="s">
        <v>1580</v>
      </c>
      <c r="B1029" t="s">
        <v>395</v>
      </c>
    </row>
    <row r="1030" spans="1:2" x14ac:dyDescent="0.35">
      <c r="A1030" t="s">
        <v>1581</v>
      </c>
      <c r="B1030" t="s">
        <v>395</v>
      </c>
    </row>
    <row r="1031" spans="1:2" x14ac:dyDescent="0.35">
      <c r="A1031" t="s">
        <v>1582</v>
      </c>
      <c r="B1031" t="s">
        <v>395</v>
      </c>
    </row>
    <row r="1032" spans="1:2" x14ac:dyDescent="0.35">
      <c r="A1032" t="s">
        <v>1583</v>
      </c>
      <c r="B1032" t="s">
        <v>395</v>
      </c>
    </row>
    <row r="1033" spans="1:2" x14ac:dyDescent="0.35">
      <c r="A1033" t="s">
        <v>1584</v>
      </c>
      <c r="B1033" t="s">
        <v>395</v>
      </c>
    </row>
    <row r="1034" spans="1:2" x14ac:dyDescent="0.35">
      <c r="A1034" t="s">
        <v>1585</v>
      </c>
      <c r="B1034" t="s">
        <v>395</v>
      </c>
    </row>
    <row r="1035" spans="1:2" x14ac:dyDescent="0.35">
      <c r="A1035" t="s">
        <v>1586</v>
      </c>
      <c r="B1035" t="s">
        <v>395</v>
      </c>
    </row>
    <row r="1036" spans="1:2" x14ac:dyDescent="0.35">
      <c r="A1036" t="s">
        <v>1587</v>
      </c>
      <c r="B1036" t="s">
        <v>395</v>
      </c>
    </row>
    <row r="1037" spans="1:2" x14ac:dyDescent="0.35">
      <c r="A1037" t="s">
        <v>1588</v>
      </c>
      <c r="B1037" t="s">
        <v>395</v>
      </c>
    </row>
    <row r="1038" spans="1:2" x14ac:dyDescent="0.35">
      <c r="A1038" t="s">
        <v>1589</v>
      </c>
      <c r="B1038" t="s">
        <v>395</v>
      </c>
    </row>
    <row r="1039" spans="1:2" x14ac:dyDescent="0.35">
      <c r="A1039" t="s">
        <v>1590</v>
      </c>
      <c r="B1039" t="s">
        <v>1590</v>
      </c>
    </row>
    <row r="1040" spans="1:2" x14ac:dyDescent="0.35">
      <c r="A1040" t="s">
        <v>1591</v>
      </c>
      <c r="B1040" t="s">
        <v>1591</v>
      </c>
    </row>
    <row r="1041" spans="1:2" x14ac:dyDescent="0.35">
      <c r="A1041" t="s">
        <v>1592</v>
      </c>
      <c r="B1041" t="s">
        <v>1592</v>
      </c>
    </row>
    <row r="1042" spans="1:2" x14ac:dyDescent="0.35">
      <c r="A1042" t="s">
        <v>567</v>
      </c>
      <c r="B1042" t="s">
        <v>567</v>
      </c>
    </row>
    <row r="1043" spans="1:2" x14ac:dyDescent="0.35">
      <c r="A1043" t="s">
        <v>1593</v>
      </c>
      <c r="B1043" t="s">
        <v>567</v>
      </c>
    </row>
    <row r="1044" spans="1:2" x14ac:dyDescent="0.35">
      <c r="A1044" t="s">
        <v>1594</v>
      </c>
      <c r="B1044" t="s">
        <v>567</v>
      </c>
    </row>
    <row r="1045" spans="1:2" x14ac:dyDescent="0.35">
      <c r="A1045" t="s">
        <v>1595</v>
      </c>
      <c r="B1045" t="s">
        <v>567</v>
      </c>
    </row>
    <row r="1046" spans="1:2" x14ac:dyDescent="0.35">
      <c r="A1046" t="s">
        <v>1596</v>
      </c>
      <c r="B1046" t="s">
        <v>567</v>
      </c>
    </row>
    <row r="1047" spans="1:2" x14ac:dyDescent="0.35">
      <c r="A1047" t="s">
        <v>1597</v>
      </c>
      <c r="B1047" t="s">
        <v>567</v>
      </c>
    </row>
    <row r="1048" spans="1:2" x14ac:dyDescent="0.35">
      <c r="A1048" t="s">
        <v>1598</v>
      </c>
      <c r="B1048" t="s">
        <v>567</v>
      </c>
    </row>
    <row r="1049" spans="1:2" x14ac:dyDescent="0.35">
      <c r="A1049" t="s">
        <v>1599</v>
      </c>
      <c r="B1049" t="s">
        <v>567</v>
      </c>
    </row>
    <row r="1050" spans="1:2" x14ac:dyDescent="0.35">
      <c r="A1050" t="s">
        <v>1600</v>
      </c>
      <c r="B1050" t="s">
        <v>567</v>
      </c>
    </row>
    <row r="1051" spans="1:2" x14ac:dyDescent="0.35">
      <c r="A1051" t="s">
        <v>1601</v>
      </c>
      <c r="B1051" t="s">
        <v>567</v>
      </c>
    </row>
    <row r="1052" spans="1:2" x14ac:dyDescent="0.35">
      <c r="A1052" t="s">
        <v>1602</v>
      </c>
      <c r="B1052" t="s">
        <v>567</v>
      </c>
    </row>
    <row r="1053" spans="1:2" x14ac:dyDescent="0.35">
      <c r="A1053" t="s">
        <v>1603</v>
      </c>
      <c r="B1053" t="s">
        <v>567</v>
      </c>
    </row>
    <row r="1054" spans="1:2" x14ac:dyDescent="0.35">
      <c r="A1054" t="s">
        <v>1604</v>
      </c>
      <c r="B1054" t="s">
        <v>567</v>
      </c>
    </row>
    <row r="1055" spans="1:2" x14ac:dyDescent="0.35">
      <c r="A1055" t="s">
        <v>1605</v>
      </c>
      <c r="B1055" t="s">
        <v>567</v>
      </c>
    </row>
    <row r="1056" spans="1:2" x14ac:dyDescent="0.35">
      <c r="A1056" t="s">
        <v>1606</v>
      </c>
      <c r="B1056" t="s">
        <v>567</v>
      </c>
    </row>
    <row r="1057" spans="1:2" x14ac:dyDescent="0.35">
      <c r="A1057" t="s">
        <v>1607</v>
      </c>
      <c r="B1057" t="s">
        <v>567</v>
      </c>
    </row>
    <row r="1058" spans="1:2" x14ac:dyDescent="0.35">
      <c r="A1058" t="s">
        <v>1608</v>
      </c>
      <c r="B1058" t="s">
        <v>567</v>
      </c>
    </row>
    <row r="1059" spans="1:2" x14ac:dyDescent="0.35">
      <c r="A1059" t="s">
        <v>1609</v>
      </c>
      <c r="B1059" t="s">
        <v>567</v>
      </c>
    </row>
    <row r="1060" spans="1:2" x14ac:dyDescent="0.35">
      <c r="A1060" t="s">
        <v>1610</v>
      </c>
      <c r="B1060" t="s">
        <v>567</v>
      </c>
    </row>
    <row r="1061" spans="1:2" x14ac:dyDescent="0.35">
      <c r="A1061" t="s">
        <v>1611</v>
      </c>
      <c r="B1061" t="s">
        <v>567</v>
      </c>
    </row>
    <row r="1062" spans="1:2" x14ac:dyDescent="0.35">
      <c r="A1062" t="s">
        <v>1612</v>
      </c>
      <c r="B1062" t="s">
        <v>567</v>
      </c>
    </row>
    <row r="1063" spans="1:2" x14ac:dyDescent="0.35">
      <c r="A1063" t="s">
        <v>1613</v>
      </c>
      <c r="B1063" t="s">
        <v>567</v>
      </c>
    </row>
    <row r="1064" spans="1:2" x14ac:dyDescent="0.35">
      <c r="A1064" t="s">
        <v>1614</v>
      </c>
      <c r="B1064" t="s">
        <v>567</v>
      </c>
    </row>
    <row r="1065" spans="1:2" x14ac:dyDescent="0.35">
      <c r="A1065" t="s">
        <v>1615</v>
      </c>
      <c r="B1065" t="s">
        <v>567</v>
      </c>
    </row>
    <row r="1066" spans="1:2" x14ac:dyDescent="0.35">
      <c r="A1066" t="s">
        <v>1616</v>
      </c>
      <c r="B1066" t="s">
        <v>567</v>
      </c>
    </row>
    <row r="1067" spans="1:2" x14ac:dyDescent="0.35">
      <c r="A1067" t="s">
        <v>1617</v>
      </c>
      <c r="B1067" t="s">
        <v>432</v>
      </c>
    </row>
    <row r="1068" spans="1:2" x14ac:dyDescent="0.35">
      <c r="A1068" t="s">
        <v>1618</v>
      </c>
      <c r="B1068" t="s">
        <v>432</v>
      </c>
    </row>
    <row r="1069" spans="1:2" x14ac:dyDescent="0.35">
      <c r="A1069" t="s">
        <v>561</v>
      </c>
      <c r="B1069" t="s">
        <v>561</v>
      </c>
    </row>
    <row r="1070" spans="1:2" x14ac:dyDescent="0.35">
      <c r="A1070" t="s">
        <v>1619</v>
      </c>
      <c r="B1070" t="s">
        <v>561</v>
      </c>
    </row>
    <row r="1071" spans="1:2" x14ac:dyDescent="0.35">
      <c r="A1071" t="s">
        <v>1620</v>
      </c>
      <c r="B1071" t="s">
        <v>561</v>
      </c>
    </row>
    <row r="1072" spans="1:2" x14ac:dyDescent="0.35">
      <c r="A1072" t="s">
        <v>1621</v>
      </c>
      <c r="B1072" t="s">
        <v>561</v>
      </c>
    </row>
    <row r="1073" spans="1:2" x14ac:dyDescent="0.35">
      <c r="A1073" t="s">
        <v>1622</v>
      </c>
      <c r="B1073" t="s">
        <v>561</v>
      </c>
    </row>
    <row r="1074" spans="1:2" x14ac:dyDescent="0.35">
      <c r="A1074" t="s">
        <v>84</v>
      </c>
      <c r="B1074" t="s">
        <v>84</v>
      </c>
    </row>
    <row r="1075" spans="1:2" x14ac:dyDescent="0.35">
      <c r="A1075" t="s">
        <v>136</v>
      </c>
      <c r="B1075" t="s">
        <v>136</v>
      </c>
    </row>
    <row r="1076" spans="1:2" x14ac:dyDescent="0.35">
      <c r="A1076" t="s">
        <v>457</v>
      </c>
      <c r="B1076" t="s">
        <v>457</v>
      </c>
    </row>
    <row r="1077" spans="1:2" x14ac:dyDescent="0.35">
      <c r="A1077" t="s">
        <v>1623</v>
      </c>
      <c r="B1077" t="s">
        <v>457</v>
      </c>
    </row>
    <row r="1078" spans="1:2" x14ac:dyDescent="0.35">
      <c r="A1078" t="s">
        <v>1624</v>
      </c>
      <c r="B1078" t="s">
        <v>457</v>
      </c>
    </row>
    <row r="1079" spans="1:2" x14ac:dyDescent="0.35">
      <c r="A1079" t="s">
        <v>1625</v>
      </c>
      <c r="B1079" t="s">
        <v>457</v>
      </c>
    </row>
    <row r="1080" spans="1:2" x14ac:dyDescent="0.35">
      <c r="A1080" t="s">
        <v>1626</v>
      </c>
      <c r="B1080" t="s">
        <v>457</v>
      </c>
    </row>
    <row r="1081" spans="1:2" x14ac:dyDescent="0.35">
      <c r="A1081" t="s">
        <v>1627</v>
      </c>
      <c r="B1081" t="s">
        <v>457</v>
      </c>
    </row>
    <row r="1082" spans="1:2" x14ac:dyDescent="0.35">
      <c r="A1082" t="s">
        <v>1628</v>
      </c>
      <c r="B1082" t="s">
        <v>457</v>
      </c>
    </row>
    <row r="1083" spans="1:2" x14ac:dyDescent="0.35">
      <c r="A1083" t="s">
        <v>1629</v>
      </c>
      <c r="B1083" t="s">
        <v>457</v>
      </c>
    </row>
    <row r="1084" spans="1:2" x14ac:dyDescent="0.35">
      <c r="A1084" t="s">
        <v>1630</v>
      </c>
      <c r="B1084" t="s">
        <v>457</v>
      </c>
    </row>
    <row r="1085" spans="1:2" x14ac:dyDescent="0.35">
      <c r="A1085" t="s">
        <v>1631</v>
      </c>
      <c r="B1085" t="s">
        <v>457</v>
      </c>
    </row>
    <row r="1086" spans="1:2" x14ac:dyDescent="0.35">
      <c r="A1086" t="s">
        <v>1632</v>
      </c>
      <c r="B1086" t="s">
        <v>457</v>
      </c>
    </row>
    <row r="1087" spans="1:2" x14ac:dyDescent="0.35">
      <c r="A1087" t="s">
        <v>1633</v>
      </c>
      <c r="B1087" t="s">
        <v>457</v>
      </c>
    </row>
    <row r="1088" spans="1:2" x14ac:dyDescent="0.35">
      <c r="A1088" t="s">
        <v>1634</v>
      </c>
      <c r="B1088" t="s">
        <v>457</v>
      </c>
    </row>
    <row r="1089" spans="1:2" x14ac:dyDescent="0.35">
      <c r="A1089" t="s">
        <v>1635</v>
      </c>
      <c r="B1089" t="s">
        <v>457</v>
      </c>
    </row>
    <row r="1090" spans="1:2" x14ac:dyDescent="0.35">
      <c r="A1090" t="s">
        <v>1636</v>
      </c>
      <c r="B1090" t="s">
        <v>457</v>
      </c>
    </row>
    <row r="1091" spans="1:2" x14ac:dyDescent="0.35">
      <c r="A1091" t="s">
        <v>1637</v>
      </c>
      <c r="B1091" t="s">
        <v>457</v>
      </c>
    </row>
    <row r="1092" spans="1:2" x14ac:dyDescent="0.35">
      <c r="A1092" t="s">
        <v>1638</v>
      </c>
      <c r="B1092" t="s">
        <v>457</v>
      </c>
    </row>
    <row r="1093" spans="1:2" x14ac:dyDescent="0.35">
      <c r="A1093" t="s">
        <v>1639</v>
      </c>
      <c r="B1093" t="s">
        <v>457</v>
      </c>
    </row>
    <row r="1094" spans="1:2" x14ac:dyDescent="0.35">
      <c r="A1094" t="s">
        <v>1640</v>
      </c>
      <c r="B1094" t="s">
        <v>457</v>
      </c>
    </row>
    <row r="1095" spans="1:2" x14ac:dyDescent="0.35">
      <c r="A1095" t="s">
        <v>721</v>
      </c>
      <c r="B1095" t="s">
        <v>721</v>
      </c>
    </row>
    <row r="1096" spans="1:2" x14ac:dyDescent="0.35">
      <c r="A1096" t="s">
        <v>27</v>
      </c>
      <c r="B1096" t="s">
        <v>27</v>
      </c>
    </row>
    <row r="1097" spans="1:2" x14ac:dyDescent="0.35">
      <c r="A1097" t="s">
        <v>217</v>
      </c>
      <c r="B1097" t="s">
        <v>217</v>
      </c>
    </row>
    <row r="1098" spans="1:2" x14ac:dyDescent="0.35">
      <c r="A1098" t="s">
        <v>1641</v>
      </c>
      <c r="B1098" t="s">
        <v>217</v>
      </c>
    </row>
    <row r="1099" spans="1:2" x14ac:dyDescent="0.35">
      <c r="A1099" t="s">
        <v>327</v>
      </c>
      <c r="B1099" t="s">
        <v>327</v>
      </c>
    </row>
    <row r="1100" spans="1:2" x14ac:dyDescent="0.35">
      <c r="A1100" t="s">
        <v>33</v>
      </c>
      <c r="B1100" t="s">
        <v>33</v>
      </c>
    </row>
    <row r="1101" spans="1:2" x14ac:dyDescent="0.35">
      <c r="A1101" t="s">
        <v>1642</v>
      </c>
      <c r="B1101" t="s">
        <v>1642</v>
      </c>
    </row>
    <row r="1102" spans="1:2" x14ac:dyDescent="0.35">
      <c r="A1102" t="s">
        <v>420</v>
      </c>
      <c r="B1102" t="s">
        <v>420</v>
      </c>
    </row>
    <row r="1103" spans="1:2" x14ac:dyDescent="0.35">
      <c r="A1103" t="s">
        <v>68</v>
      </c>
      <c r="B1103" t="s">
        <v>68</v>
      </c>
    </row>
    <row r="1104" spans="1:2" x14ac:dyDescent="0.35">
      <c r="A1104" t="s">
        <v>445</v>
      </c>
      <c r="B1104" t="s">
        <v>445</v>
      </c>
    </row>
    <row r="1105" spans="1:2" x14ac:dyDescent="0.35">
      <c r="A1105" t="s">
        <v>478</v>
      </c>
      <c r="B1105" t="s">
        <v>478</v>
      </c>
    </row>
    <row r="1106" spans="1:2" x14ac:dyDescent="0.35">
      <c r="A1106" t="s">
        <v>168</v>
      </c>
      <c r="B1106" t="s">
        <v>168</v>
      </c>
    </row>
    <row r="1107" spans="1:2" x14ac:dyDescent="0.35">
      <c r="A1107" t="s">
        <v>577</v>
      </c>
      <c r="B1107" t="s">
        <v>577</v>
      </c>
    </row>
    <row r="1108" spans="1:2" x14ac:dyDescent="0.35">
      <c r="A1108" t="s">
        <v>99</v>
      </c>
      <c r="B1108" t="s">
        <v>99</v>
      </c>
    </row>
    <row r="1109" spans="1:2" x14ac:dyDescent="0.35">
      <c r="A1109" t="s">
        <v>237</v>
      </c>
      <c r="B1109" t="s">
        <v>237</v>
      </c>
    </row>
    <row r="1110" spans="1:2" x14ac:dyDescent="0.35">
      <c r="A1110" t="s">
        <v>265</v>
      </c>
      <c r="B1110" t="s">
        <v>237</v>
      </c>
    </row>
    <row r="1111" spans="1:2" x14ac:dyDescent="0.35">
      <c r="A1111" t="s">
        <v>1643</v>
      </c>
      <c r="B1111" t="s">
        <v>237</v>
      </c>
    </row>
    <row r="1112" spans="1:2" x14ac:dyDescent="0.35">
      <c r="A1112" t="s">
        <v>1644</v>
      </c>
      <c r="B1112" t="s">
        <v>237</v>
      </c>
    </row>
    <row r="1113" spans="1:2" x14ac:dyDescent="0.35">
      <c r="A1113" t="s">
        <v>1645</v>
      </c>
      <c r="B1113" t="s">
        <v>237</v>
      </c>
    </row>
    <row r="1114" spans="1:2" x14ac:dyDescent="0.35">
      <c r="A1114" t="s">
        <v>285</v>
      </c>
      <c r="B1114" t="s">
        <v>285</v>
      </c>
    </row>
    <row r="1115" spans="1:2" x14ac:dyDescent="0.35">
      <c r="A1115" t="s">
        <v>1646</v>
      </c>
      <c r="B1115" t="s">
        <v>285</v>
      </c>
    </row>
    <row r="1116" spans="1:2" x14ac:dyDescent="0.35">
      <c r="A1116" t="s">
        <v>1647</v>
      </c>
      <c r="B1116" t="s">
        <v>285</v>
      </c>
    </row>
    <row r="1117" spans="1:2" x14ac:dyDescent="0.35">
      <c r="A1117" t="s">
        <v>463</v>
      </c>
      <c r="B1117" t="s">
        <v>463</v>
      </c>
    </row>
    <row r="1118" spans="1:2" x14ac:dyDescent="0.35">
      <c r="A1118" t="s">
        <v>264</v>
      </c>
      <c r="B1118" t="s">
        <v>264</v>
      </c>
    </row>
    <row r="1119" spans="1:2" x14ac:dyDescent="0.35">
      <c r="A1119" t="s">
        <v>1648</v>
      </c>
      <c r="B1119" t="s">
        <v>264</v>
      </c>
    </row>
    <row r="1120" spans="1:2" x14ac:dyDescent="0.35">
      <c r="A1120" t="s">
        <v>1649</v>
      </c>
      <c r="B1120" t="s">
        <v>264</v>
      </c>
    </row>
    <row r="1121" spans="1:2" x14ac:dyDescent="0.35">
      <c r="A1121" t="s">
        <v>1650</v>
      </c>
      <c r="B1121" t="s">
        <v>264</v>
      </c>
    </row>
    <row r="1122" spans="1:2" x14ac:dyDescent="0.35">
      <c r="A1122" t="s">
        <v>1651</v>
      </c>
      <c r="B1122" t="s">
        <v>264</v>
      </c>
    </row>
    <row r="1123" spans="1:2" x14ac:dyDescent="0.35">
      <c r="A1123" t="s">
        <v>1652</v>
      </c>
      <c r="B1123" t="s">
        <v>264</v>
      </c>
    </row>
    <row r="1124" spans="1:2" x14ac:dyDescent="0.35">
      <c r="A1124" t="s">
        <v>1653</v>
      </c>
      <c r="B1124" t="s">
        <v>264</v>
      </c>
    </row>
    <row r="1125" spans="1:2" x14ac:dyDescent="0.35">
      <c r="A1125" t="s">
        <v>1654</v>
      </c>
      <c r="B1125" t="s">
        <v>264</v>
      </c>
    </row>
    <row r="1126" spans="1:2" x14ac:dyDescent="0.35">
      <c r="A1126" t="s">
        <v>1655</v>
      </c>
      <c r="B1126" t="s">
        <v>264</v>
      </c>
    </row>
    <row r="1127" spans="1:2" x14ac:dyDescent="0.35">
      <c r="A1127" t="s">
        <v>1656</v>
      </c>
      <c r="B1127" t="s">
        <v>264</v>
      </c>
    </row>
    <row r="1128" spans="1:2" x14ac:dyDescent="0.35">
      <c r="A1128" t="s">
        <v>1657</v>
      </c>
      <c r="B1128" t="s">
        <v>264</v>
      </c>
    </row>
    <row r="1129" spans="1:2" x14ac:dyDescent="0.35">
      <c r="A1129" t="s">
        <v>1658</v>
      </c>
      <c r="B1129" t="s">
        <v>264</v>
      </c>
    </row>
    <row r="1130" spans="1:2" x14ac:dyDescent="0.35">
      <c r="A1130" t="s">
        <v>1659</v>
      </c>
      <c r="B1130" t="s">
        <v>264</v>
      </c>
    </row>
    <row r="1131" spans="1:2" x14ac:dyDescent="0.35">
      <c r="A1131" t="s">
        <v>1660</v>
      </c>
      <c r="B1131" t="s">
        <v>264</v>
      </c>
    </row>
    <row r="1132" spans="1:2" x14ac:dyDescent="0.35">
      <c r="A1132" t="s">
        <v>1661</v>
      </c>
      <c r="B1132" t="s">
        <v>264</v>
      </c>
    </row>
    <row r="1133" spans="1:2" x14ac:dyDescent="0.35">
      <c r="A1133" t="s">
        <v>1662</v>
      </c>
      <c r="B1133" t="s">
        <v>264</v>
      </c>
    </row>
    <row r="1134" spans="1:2" x14ac:dyDescent="0.35">
      <c r="A1134" t="s">
        <v>1663</v>
      </c>
      <c r="B1134" t="s">
        <v>264</v>
      </c>
    </row>
    <row r="1135" spans="1:2" x14ac:dyDescent="0.35">
      <c r="A1135" t="s">
        <v>1664</v>
      </c>
      <c r="B1135" t="s">
        <v>264</v>
      </c>
    </row>
    <row r="1136" spans="1:2" x14ac:dyDescent="0.35">
      <c r="A1136" t="s">
        <v>1665</v>
      </c>
      <c r="B1136" t="s">
        <v>264</v>
      </c>
    </row>
    <row r="1137" spans="1:2" x14ac:dyDescent="0.35">
      <c r="A1137" t="s">
        <v>1666</v>
      </c>
      <c r="B1137" t="s">
        <v>264</v>
      </c>
    </row>
    <row r="1138" spans="1:2" x14ac:dyDescent="0.35">
      <c r="A1138" t="s">
        <v>1667</v>
      </c>
      <c r="B1138" t="s">
        <v>264</v>
      </c>
    </row>
    <row r="1139" spans="1:2" x14ac:dyDescent="0.35">
      <c r="A1139" t="s">
        <v>1668</v>
      </c>
      <c r="B1139" t="s">
        <v>264</v>
      </c>
    </row>
    <row r="1140" spans="1:2" x14ac:dyDescent="0.35">
      <c r="A1140" t="s">
        <v>1669</v>
      </c>
      <c r="B1140" t="s">
        <v>264</v>
      </c>
    </row>
    <row r="1141" spans="1:2" x14ac:dyDescent="0.35">
      <c r="A1141" t="s">
        <v>1670</v>
      </c>
      <c r="B1141" t="s">
        <v>264</v>
      </c>
    </row>
    <row r="1142" spans="1:2" x14ac:dyDescent="0.35">
      <c r="A1142" t="s">
        <v>1671</v>
      </c>
      <c r="B1142" t="s">
        <v>264</v>
      </c>
    </row>
    <row r="1143" spans="1:2" x14ac:dyDescent="0.35">
      <c r="A1143" t="s">
        <v>1672</v>
      </c>
      <c r="B1143" t="s">
        <v>316</v>
      </c>
    </row>
    <row r="1144" spans="1:2" x14ac:dyDescent="0.35">
      <c r="A1144" t="s">
        <v>461</v>
      </c>
      <c r="B1144" t="s">
        <v>461</v>
      </c>
    </row>
    <row r="1145" spans="1:2" x14ac:dyDescent="0.35">
      <c r="A1145" t="s">
        <v>1673</v>
      </c>
      <c r="B1145" t="s">
        <v>461</v>
      </c>
    </row>
    <row r="1146" spans="1:2" x14ac:dyDescent="0.35">
      <c r="A1146" t="s">
        <v>1674</v>
      </c>
      <c r="B1146" t="s">
        <v>461</v>
      </c>
    </row>
    <row r="1147" spans="1:2" x14ac:dyDescent="0.35">
      <c r="A1147" t="s">
        <v>1675</v>
      </c>
      <c r="B1147" t="s">
        <v>461</v>
      </c>
    </row>
    <row r="1148" spans="1:2" x14ac:dyDescent="0.35">
      <c r="A1148" t="s">
        <v>1676</v>
      </c>
      <c r="B1148" t="s">
        <v>461</v>
      </c>
    </row>
    <row r="1149" spans="1:2" x14ac:dyDescent="0.35">
      <c r="A1149" t="s">
        <v>1677</v>
      </c>
      <c r="B1149" t="s">
        <v>461</v>
      </c>
    </row>
    <row r="1150" spans="1:2" x14ac:dyDescent="0.35">
      <c r="A1150" t="s">
        <v>1678</v>
      </c>
      <c r="B1150" t="s">
        <v>461</v>
      </c>
    </row>
    <row r="1151" spans="1:2" x14ac:dyDescent="0.35">
      <c r="A1151" t="s">
        <v>1679</v>
      </c>
      <c r="B1151" t="s">
        <v>461</v>
      </c>
    </row>
    <row r="1152" spans="1:2" x14ac:dyDescent="0.35">
      <c r="A1152" t="s">
        <v>1680</v>
      </c>
      <c r="B1152" t="s">
        <v>461</v>
      </c>
    </row>
    <row r="1153" spans="1:2" x14ac:dyDescent="0.35">
      <c r="A1153" t="s">
        <v>1681</v>
      </c>
      <c r="B1153" t="s">
        <v>461</v>
      </c>
    </row>
    <row r="1154" spans="1:2" x14ac:dyDescent="0.35">
      <c r="A1154" t="s">
        <v>1682</v>
      </c>
      <c r="B1154" t="s">
        <v>461</v>
      </c>
    </row>
    <row r="1155" spans="1:2" x14ac:dyDescent="0.35">
      <c r="A1155" t="s">
        <v>1683</v>
      </c>
      <c r="B1155" t="s">
        <v>461</v>
      </c>
    </row>
    <row r="1156" spans="1:2" x14ac:dyDescent="0.35">
      <c r="A1156" t="s">
        <v>1684</v>
      </c>
      <c r="B1156" t="s">
        <v>461</v>
      </c>
    </row>
    <row r="1157" spans="1:2" x14ac:dyDescent="0.35">
      <c r="A1157" t="s">
        <v>1685</v>
      </c>
      <c r="B1157" t="s">
        <v>461</v>
      </c>
    </row>
    <row r="1158" spans="1:2" x14ac:dyDescent="0.35">
      <c r="A1158" t="s">
        <v>1686</v>
      </c>
      <c r="B1158" t="s">
        <v>461</v>
      </c>
    </row>
    <row r="1159" spans="1:2" x14ac:dyDescent="0.35">
      <c r="A1159" t="s">
        <v>1687</v>
      </c>
      <c r="B1159" t="s">
        <v>461</v>
      </c>
    </row>
    <row r="1160" spans="1:2" x14ac:dyDescent="0.35">
      <c r="A1160" t="s">
        <v>1688</v>
      </c>
      <c r="B1160" t="s">
        <v>461</v>
      </c>
    </row>
    <row r="1161" spans="1:2" x14ac:dyDescent="0.35">
      <c r="A1161" t="s">
        <v>1689</v>
      </c>
      <c r="B1161" t="s">
        <v>461</v>
      </c>
    </row>
    <row r="1162" spans="1:2" x14ac:dyDescent="0.35">
      <c r="A1162" t="s">
        <v>1690</v>
      </c>
      <c r="B1162" t="s">
        <v>461</v>
      </c>
    </row>
    <row r="1163" spans="1:2" x14ac:dyDescent="0.35">
      <c r="A1163" t="s">
        <v>1691</v>
      </c>
      <c r="B1163" t="s">
        <v>461</v>
      </c>
    </row>
    <row r="1164" spans="1:2" x14ac:dyDescent="0.35">
      <c r="A1164" t="s">
        <v>1692</v>
      </c>
      <c r="B1164" t="s">
        <v>461</v>
      </c>
    </row>
    <row r="1165" spans="1:2" x14ac:dyDescent="0.35">
      <c r="A1165" t="s">
        <v>1693</v>
      </c>
      <c r="B1165" t="s">
        <v>461</v>
      </c>
    </row>
    <row r="1166" spans="1:2" x14ac:dyDescent="0.35">
      <c r="A1166" t="s">
        <v>1694</v>
      </c>
      <c r="B1166" t="s">
        <v>461</v>
      </c>
    </row>
    <row r="1167" spans="1:2" x14ac:dyDescent="0.35">
      <c r="A1167" t="s">
        <v>1695</v>
      </c>
      <c r="B1167" t="s">
        <v>461</v>
      </c>
    </row>
    <row r="1168" spans="1:2" x14ac:dyDescent="0.35">
      <c r="A1168" t="s">
        <v>1696</v>
      </c>
      <c r="B1168" t="s">
        <v>461</v>
      </c>
    </row>
    <row r="1169" spans="1:2" x14ac:dyDescent="0.35">
      <c r="A1169" t="s">
        <v>1697</v>
      </c>
      <c r="B1169" t="s">
        <v>461</v>
      </c>
    </row>
    <row r="1170" spans="1:2" x14ac:dyDescent="0.35">
      <c r="A1170" t="s">
        <v>1698</v>
      </c>
      <c r="B1170" t="s">
        <v>461</v>
      </c>
    </row>
    <row r="1171" spans="1:2" x14ac:dyDescent="0.35">
      <c r="A1171" t="s">
        <v>1699</v>
      </c>
      <c r="B1171" t="s">
        <v>461</v>
      </c>
    </row>
    <row r="1172" spans="1:2" x14ac:dyDescent="0.35">
      <c r="A1172" t="s">
        <v>1700</v>
      </c>
      <c r="B1172" t="s">
        <v>461</v>
      </c>
    </row>
    <row r="1173" spans="1:2" x14ac:dyDescent="0.35">
      <c r="A1173" t="s">
        <v>1701</v>
      </c>
      <c r="B1173" t="s">
        <v>461</v>
      </c>
    </row>
    <row r="1174" spans="1:2" x14ac:dyDescent="0.35">
      <c r="A1174" t="s">
        <v>1702</v>
      </c>
      <c r="B1174" t="s">
        <v>461</v>
      </c>
    </row>
    <row r="1175" spans="1:2" x14ac:dyDescent="0.35">
      <c r="A1175" t="s">
        <v>1703</v>
      </c>
      <c r="B1175" t="s">
        <v>461</v>
      </c>
    </row>
    <row r="1176" spans="1:2" x14ac:dyDescent="0.35">
      <c r="A1176" t="s">
        <v>211</v>
      </c>
      <c r="B1176" t="s">
        <v>211</v>
      </c>
    </row>
    <row r="1177" spans="1:2" x14ac:dyDescent="0.35">
      <c r="A1177" t="s">
        <v>160</v>
      </c>
      <c r="B1177" t="s">
        <v>160</v>
      </c>
    </row>
    <row r="1178" spans="1:2" x14ac:dyDescent="0.35">
      <c r="A1178" t="s">
        <v>232</v>
      </c>
      <c r="B1178" t="s">
        <v>160</v>
      </c>
    </row>
    <row r="1179" spans="1:2" x14ac:dyDescent="0.35">
      <c r="A1179" t="s">
        <v>213</v>
      </c>
      <c r="B1179" t="s">
        <v>160</v>
      </c>
    </row>
    <row r="1180" spans="1:2" x14ac:dyDescent="0.35">
      <c r="A1180" t="s">
        <v>86</v>
      </c>
      <c r="B1180" t="s">
        <v>86</v>
      </c>
    </row>
    <row r="1181" spans="1:2" x14ac:dyDescent="0.35">
      <c r="A1181" t="s">
        <v>53</v>
      </c>
      <c r="B1181" t="s">
        <v>53</v>
      </c>
    </row>
    <row r="1182" spans="1:2" x14ac:dyDescent="0.35">
      <c r="A1182" t="s">
        <v>54</v>
      </c>
      <c r="B1182" t="s">
        <v>54</v>
      </c>
    </row>
    <row r="1183" spans="1:2" x14ac:dyDescent="0.35">
      <c r="A1183" t="s">
        <v>62</v>
      </c>
      <c r="B1183" t="s">
        <v>62</v>
      </c>
    </row>
    <row r="1184" spans="1:2" x14ac:dyDescent="0.35">
      <c r="A1184" t="s">
        <v>119</v>
      </c>
      <c r="B1184" t="s">
        <v>119</v>
      </c>
    </row>
    <row r="1185" spans="1:2" x14ac:dyDescent="0.35">
      <c r="A1185" t="s">
        <v>251</v>
      </c>
      <c r="B1185" t="s">
        <v>251</v>
      </c>
    </row>
    <row r="1186" spans="1:2" x14ac:dyDescent="0.35">
      <c r="A1186" t="s">
        <v>69</v>
      </c>
      <c r="B1186" t="s">
        <v>69</v>
      </c>
    </row>
    <row r="1187" spans="1:2" x14ac:dyDescent="0.35">
      <c r="A1187" t="s">
        <v>39</v>
      </c>
      <c r="B1187" t="s">
        <v>39</v>
      </c>
    </row>
    <row r="1188" spans="1:2" x14ac:dyDescent="0.35">
      <c r="A1188" t="s">
        <v>262</v>
      </c>
      <c r="B1188" t="s">
        <v>262</v>
      </c>
    </row>
    <row r="1189" spans="1:2" x14ac:dyDescent="0.35">
      <c r="A1189" t="s">
        <v>135</v>
      </c>
      <c r="B1189" t="s">
        <v>135</v>
      </c>
    </row>
    <row r="1190" spans="1:2" x14ac:dyDescent="0.35">
      <c r="A1190" t="s">
        <v>32</v>
      </c>
      <c r="B1190" t="s">
        <v>32</v>
      </c>
    </row>
    <row r="1191" spans="1:2" x14ac:dyDescent="0.35">
      <c r="A1191" t="s">
        <v>436</v>
      </c>
      <c r="B1191" t="s">
        <v>436</v>
      </c>
    </row>
    <row r="1192" spans="1:2" x14ac:dyDescent="0.35">
      <c r="A1192" t="s">
        <v>36</v>
      </c>
      <c r="B1192" t="s">
        <v>36</v>
      </c>
    </row>
    <row r="1193" spans="1:2" x14ac:dyDescent="0.35">
      <c r="A1193" t="s">
        <v>412</v>
      </c>
      <c r="B1193" t="s">
        <v>412</v>
      </c>
    </row>
    <row r="1194" spans="1:2" x14ac:dyDescent="0.35">
      <c r="A1194" t="s">
        <v>38</v>
      </c>
      <c r="B1194" t="s">
        <v>38</v>
      </c>
    </row>
    <row r="1195" spans="1:2" x14ac:dyDescent="0.35">
      <c r="A1195" t="s">
        <v>439</v>
      </c>
      <c r="B1195" t="s">
        <v>439</v>
      </c>
    </row>
    <row r="1196" spans="1:2" x14ac:dyDescent="0.35">
      <c r="A1196" t="s">
        <v>1704</v>
      </c>
      <c r="B1196" t="s">
        <v>504</v>
      </c>
    </row>
    <row r="1197" spans="1:2" x14ac:dyDescent="0.35">
      <c r="A1197" t="s">
        <v>1705</v>
      </c>
      <c r="B1197" t="s">
        <v>504</v>
      </c>
    </row>
    <row r="1198" spans="1:2" x14ac:dyDescent="0.35">
      <c r="A1198" t="s">
        <v>1706</v>
      </c>
      <c r="B1198" t="s">
        <v>504</v>
      </c>
    </row>
    <row r="1199" spans="1:2" x14ac:dyDescent="0.35">
      <c r="A1199" t="s">
        <v>1707</v>
      </c>
      <c r="B1199" t="s">
        <v>504</v>
      </c>
    </row>
    <row r="1200" spans="1:2" x14ac:dyDescent="0.35">
      <c r="A1200" t="s">
        <v>1708</v>
      </c>
      <c r="B1200" t="s">
        <v>504</v>
      </c>
    </row>
    <row r="1201" spans="1:2" x14ac:dyDescent="0.35">
      <c r="A1201" t="s">
        <v>1709</v>
      </c>
      <c r="B1201" t="s">
        <v>504</v>
      </c>
    </row>
    <row r="1202" spans="1:2" x14ac:dyDescent="0.35">
      <c r="A1202" t="s">
        <v>1710</v>
      </c>
      <c r="B1202" t="s">
        <v>504</v>
      </c>
    </row>
    <row r="1203" spans="1:2" x14ac:dyDescent="0.35">
      <c r="A1203" t="s">
        <v>1711</v>
      </c>
      <c r="B1203" t="s">
        <v>504</v>
      </c>
    </row>
    <row r="1204" spans="1:2" x14ac:dyDescent="0.35">
      <c r="A1204" t="s">
        <v>1712</v>
      </c>
      <c r="B1204" t="s">
        <v>504</v>
      </c>
    </row>
    <row r="1205" spans="1:2" x14ac:dyDescent="0.35">
      <c r="A1205" t="s">
        <v>1713</v>
      </c>
      <c r="B1205" t="s">
        <v>504</v>
      </c>
    </row>
    <row r="1206" spans="1:2" x14ac:dyDescent="0.35">
      <c r="A1206" t="s">
        <v>1714</v>
      </c>
      <c r="B1206" t="s">
        <v>504</v>
      </c>
    </row>
    <row r="1207" spans="1:2" x14ac:dyDescent="0.35">
      <c r="A1207" t="s">
        <v>1715</v>
      </c>
      <c r="B1207" t="s">
        <v>504</v>
      </c>
    </row>
    <row r="1208" spans="1:2" x14ac:dyDescent="0.35">
      <c r="A1208" t="s">
        <v>1716</v>
      </c>
      <c r="B1208" t="s">
        <v>504</v>
      </c>
    </row>
    <row r="1209" spans="1:2" x14ac:dyDescent="0.35">
      <c r="A1209" t="s">
        <v>1717</v>
      </c>
      <c r="B1209" t="s">
        <v>209</v>
      </c>
    </row>
    <row r="1210" spans="1:2" x14ac:dyDescent="0.35">
      <c r="A1210" t="s">
        <v>1718</v>
      </c>
      <c r="B1210" t="s">
        <v>209</v>
      </c>
    </row>
    <row r="1211" spans="1:2" x14ac:dyDescent="0.35">
      <c r="A1211" t="s">
        <v>1719</v>
      </c>
      <c r="B1211" t="s">
        <v>209</v>
      </c>
    </row>
    <row r="1212" spans="1:2" x14ac:dyDescent="0.35">
      <c r="A1212" t="s">
        <v>1720</v>
      </c>
      <c r="B1212" t="s">
        <v>209</v>
      </c>
    </row>
    <row r="1213" spans="1:2" x14ac:dyDescent="0.35">
      <c r="A1213" t="s">
        <v>710</v>
      </c>
      <c r="B1213" t="s">
        <v>710</v>
      </c>
    </row>
    <row r="1214" spans="1:2" x14ac:dyDescent="0.35">
      <c r="A1214" t="s">
        <v>104</v>
      </c>
      <c r="B1214" t="s">
        <v>104</v>
      </c>
    </row>
    <row r="1215" spans="1:2" x14ac:dyDescent="0.35">
      <c r="A1215" t="s">
        <v>80</v>
      </c>
      <c r="B1215" t="s">
        <v>80</v>
      </c>
    </row>
    <row r="1216" spans="1:2" x14ac:dyDescent="0.35">
      <c r="A1216" t="s">
        <v>708</v>
      </c>
      <c r="B1216" t="s">
        <v>708</v>
      </c>
    </row>
    <row r="1217" spans="1:2" x14ac:dyDescent="0.35">
      <c r="A1217" t="s">
        <v>1721</v>
      </c>
      <c r="B1217" t="s">
        <v>708</v>
      </c>
    </row>
    <row r="1218" spans="1:2" x14ac:dyDescent="0.35">
      <c r="A1218" t="s">
        <v>557</v>
      </c>
      <c r="B1218" t="s">
        <v>557</v>
      </c>
    </row>
    <row r="1219" spans="1:2" x14ac:dyDescent="0.35">
      <c r="A1219" t="s">
        <v>1722</v>
      </c>
      <c r="B1219" t="s">
        <v>447</v>
      </c>
    </row>
    <row r="1220" spans="1:2" x14ac:dyDescent="0.35">
      <c r="A1220" t="s">
        <v>1723</v>
      </c>
      <c r="B1220" t="s">
        <v>447</v>
      </c>
    </row>
    <row r="1221" spans="1:2" x14ac:dyDescent="0.35">
      <c r="A1221" t="s">
        <v>1724</v>
      </c>
      <c r="B1221" t="s">
        <v>447</v>
      </c>
    </row>
    <row r="1222" spans="1:2" x14ac:dyDescent="0.35">
      <c r="A1222" t="s">
        <v>1725</v>
      </c>
      <c r="B1222" t="s">
        <v>447</v>
      </c>
    </row>
    <row r="1223" spans="1:2" x14ac:dyDescent="0.35">
      <c r="A1223" t="s">
        <v>1726</v>
      </c>
      <c r="B1223" t="s">
        <v>447</v>
      </c>
    </row>
    <row r="1224" spans="1:2" x14ac:dyDescent="0.35">
      <c r="A1224" t="s">
        <v>1727</v>
      </c>
      <c r="B1224" t="s">
        <v>447</v>
      </c>
    </row>
    <row r="1225" spans="1:2" x14ac:dyDescent="0.35">
      <c r="A1225" t="s">
        <v>1728</v>
      </c>
      <c r="B1225" t="s">
        <v>447</v>
      </c>
    </row>
    <row r="1226" spans="1:2" x14ac:dyDescent="0.35">
      <c r="A1226" t="s">
        <v>1729</v>
      </c>
      <c r="B1226" t="s">
        <v>447</v>
      </c>
    </row>
    <row r="1227" spans="1:2" x14ac:dyDescent="0.35">
      <c r="A1227" t="s">
        <v>1730</v>
      </c>
      <c r="B1227" t="s">
        <v>447</v>
      </c>
    </row>
    <row r="1228" spans="1:2" x14ac:dyDescent="0.35">
      <c r="A1228" t="s">
        <v>1731</v>
      </c>
      <c r="B1228" t="s">
        <v>447</v>
      </c>
    </row>
    <row r="1229" spans="1:2" x14ac:dyDescent="0.35">
      <c r="A1229" t="s">
        <v>1732</v>
      </c>
      <c r="B1229" t="s">
        <v>447</v>
      </c>
    </row>
    <row r="1230" spans="1:2" x14ac:dyDescent="0.35">
      <c r="A1230" t="s">
        <v>1733</v>
      </c>
      <c r="B1230" t="s">
        <v>447</v>
      </c>
    </row>
    <row r="1231" spans="1:2" x14ac:dyDescent="0.35">
      <c r="A1231" t="s">
        <v>1734</v>
      </c>
      <c r="B1231" t="s">
        <v>447</v>
      </c>
    </row>
    <row r="1232" spans="1:2" x14ac:dyDescent="0.35">
      <c r="A1232" t="s">
        <v>1735</v>
      </c>
      <c r="B1232" t="s">
        <v>447</v>
      </c>
    </row>
    <row r="1233" spans="1:2" x14ac:dyDescent="0.35">
      <c r="A1233" t="s">
        <v>1736</v>
      </c>
      <c r="B1233" t="s">
        <v>447</v>
      </c>
    </row>
    <row r="1234" spans="1:2" x14ac:dyDescent="0.35">
      <c r="A1234" t="s">
        <v>1737</v>
      </c>
      <c r="B1234" t="s">
        <v>447</v>
      </c>
    </row>
    <row r="1235" spans="1:2" x14ac:dyDescent="0.35">
      <c r="A1235" t="s">
        <v>1738</v>
      </c>
      <c r="B1235" t="s">
        <v>447</v>
      </c>
    </row>
    <row r="1236" spans="1:2" x14ac:dyDescent="0.35">
      <c r="A1236" t="s">
        <v>1739</v>
      </c>
      <c r="B1236" t="s">
        <v>447</v>
      </c>
    </row>
    <row r="1237" spans="1:2" x14ac:dyDescent="0.35">
      <c r="A1237" t="s">
        <v>1740</v>
      </c>
      <c r="B1237" t="s">
        <v>447</v>
      </c>
    </row>
    <row r="1238" spans="1:2" x14ac:dyDescent="0.35">
      <c r="A1238" t="s">
        <v>1741</v>
      </c>
      <c r="B1238" t="s">
        <v>447</v>
      </c>
    </row>
    <row r="1239" spans="1:2" x14ac:dyDescent="0.35">
      <c r="A1239" t="s">
        <v>1742</v>
      </c>
      <c r="B1239" t="s">
        <v>447</v>
      </c>
    </row>
    <row r="1240" spans="1:2" x14ac:dyDescent="0.35">
      <c r="A1240" t="s">
        <v>1743</v>
      </c>
      <c r="B1240" t="s">
        <v>447</v>
      </c>
    </row>
    <row r="1241" spans="1:2" x14ac:dyDescent="0.35">
      <c r="A1241" t="s">
        <v>1744</v>
      </c>
      <c r="B1241" t="s">
        <v>447</v>
      </c>
    </row>
    <row r="1242" spans="1:2" x14ac:dyDescent="0.35">
      <c r="A1242" t="s">
        <v>45</v>
      </c>
      <c r="B1242" t="s">
        <v>45</v>
      </c>
    </row>
    <row r="1243" spans="1:2" x14ac:dyDescent="0.35">
      <c r="A1243" t="s">
        <v>21</v>
      </c>
      <c r="B1243" t="s">
        <v>21</v>
      </c>
    </row>
    <row r="1244" spans="1:2" x14ac:dyDescent="0.35">
      <c r="A1244" t="s">
        <v>249</v>
      </c>
      <c r="B1244" t="s">
        <v>624</v>
      </c>
    </row>
    <row r="1245" spans="1:2" x14ac:dyDescent="0.35">
      <c r="A1245" t="s">
        <v>169</v>
      </c>
      <c r="B1245" t="s">
        <v>169</v>
      </c>
    </row>
    <row r="1246" spans="1:2" x14ac:dyDescent="0.35">
      <c r="A1246" t="s">
        <v>1745</v>
      </c>
      <c r="B1246" t="s">
        <v>169</v>
      </c>
    </row>
    <row r="1247" spans="1:2" x14ac:dyDescent="0.35">
      <c r="A1247" t="s">
        <v>236</v>
      </c>
      <c r="B1247" t="s">
        <v>236</v>
      </c>
    </row>
    <row r="1248" spans="1:2" x14ac:dyDescent="0.35">
      <c r="A1248" t="s">
        <v>233</v>
      </c>
      <c r="B1248" t="s">
        <v>169</v>
      </c>
    </row>
    <row r="1249" spans="1:2" x14ac:dyDescent="0.35">
      <c r="A1249" t="s">
        <v>1746</v>
      </c>
      <c r="B1249" t="s">
        <v>169</v>
      </c>
    </row>
    <row r="1250" spans="1:2" x14ac:dyDescent="0.35">
      <c r="A1250" t="s">
        <v>731</v>
      </c>
      <c r="B1250" t="s">
        <v>731</v>
      </c>
    </row>
    <row r="1251" spans="1:2" x14ac:dyDescent="0.35">
      <c r="A1251" t="s">
        <v>701</v>
      </c>
      <c r="B1251" t="s">
        <v>701</v>
      </c>
    </row>
    <row r="1252" spans="1:2" x14ac:dyDescent="0.35">
      <c r="A1252" t="s">
        <v>37</v>
      </c>
      <c r="B1252" t="s">
        <v>37</v>
      </c>
    </row>
    <row r="1253" spans="1:2" x14ac:dyDescent="0.35">
      <c r="A1253" t="s">
        <v>765</v>
      </c>
      <c r="B1253" t="s">
        <v>765</v>
      </c>
    </row>
    <row r="1254" spans="1:2" x14ac:dyDescent="0.35">
      <c r="A1254" t="s">
        <v>7</v>
      </c>
      <c r="B1254" t="s">
        <v>7</v>
      </c>
    </row>
    <row r="1255" spans="1:2" x14ac:dyDescent="0.35">
      <c r="A1255" t="s">
        <v>1747</v>
      </c>
      <c r="B1255" t="s">
        <v>1747</v>
      </c>
    </row>
    <row r="1256" spans="1:2" x14ac:dyDescent="0.35">
      <c r="A1256" t="s">
        <v>11</v>
      </c>
      <c r="B1256" t="s">
        <v>757</v>
      </c>
    </row>
    <row r="1257" spans="1:2" x14ac:dyDescent="0.35">
      <c r="A1257" t="s">
        <v>1748</v>
      </c>
      <c r="B1257" t="s">
        <v>757</v>
      </c>
    </row>
    <row r="1258" spans="1:2" x14ac:dyDescent="0.35">
      <c r="A1258" t="s">
        <v>1749</v>
      </c>
      <c r="B1258" t="s">
        <v>757</v>
      </c>
    </row>
    <row r="1259" spans="1:2" x14ac:dyDescent="0.35">
      <c r="A1259" t="s">
        <v>107</v>
      </c>
      <c r="B1259" t="s">
        <v>757</v>
      </c>
    </row>
    <row r="1260" spans="1:2" x14ac:dyDescent="0.35">
      <c r="A1260" t="s">
        <v>1750</v>
      </c>
      <c r="B1260" t="s">
        <v>757</v>
      </c>
    </row>
    <row r="1261" spans="1:2" x14ac:dyDescent="0.35">
      <c r="A1261" t="s">
        <v>1751</v>
      </c>
      <c r="B1261" t="s">
        <v>757</v>
      </c>
    </row>
    <row r="1262" spans="1:2" x14ac:dyDescent="0.35">
      <c r="A1262" t="s">
        <v>810</v>
      </c>
      <c r="B1262" t="s">
        <v>810</v>
      </c>
    </row>
    <row r="1263" spans="1:2" x14ac:dyDescent="0.35">
      <c r="A1263" t="s">
        <v>1752</v>
      </c>
      <c r="B1263" t="s">
        <v>810</v>
      </c>
    </row>
    <row r="1264" spans="1:2" x14ac:dyDescent="0.35">
      <c r="A1264" t="s">
        <v>291</v>
      </c>
      <c r="B1264" t="s">
        <v>810</v>
      </c>
    </row>
    <row r="1265" spans="1:2" x14ac:dyDescent="0.35">
      <c r="A1265" t="s">
        <v>1753</v>
      </c>
      <c r="B1265" t="s">
        <v>1819</v>
      </c>
    </row>
    <row r="1266" spans="1:2" x14ac:dyDescent="0.35">
      <c r="A1266" t="s">
        <v>1754</v>
      </c>
      <c r="B1266" t="s">
        <v>810</v>
      </c>
    </row>
    <row r="1267" spans="1:2" x14ac:dyDescent="0.35">
      <c r="A1267" t="s">
        <v>1755</v>
      </c>
      <c r="B1267" t="s">
        <v>810</v>
      </c>
    </row>
    <row r="1268" spans="1:2" x14ac:dyDescent="0.35">
      <c r="A1268" t="s">
        <v>1756</v>
      </c>
      <c r="B1268" s="2" t="s">
        <v>808</v>
      </c>
    </row>
    <row r="1269" spans="1:2" x14ac:dyDescent="0.35">
      <c r="A1269" t="s">
        <v>238</v>
      </c>
      <c r="B1269" s="2" t="s">
        <v>808</v>
      </c>
    </row>
    <row r="1270" spans="1:2" x14ac:dyDescent="0.35">
      <c r="A1270" t="s">
        <v>1757</v>
      </c>
      <c r="B1270" t="s">
        <v>810</v>
      </c>
    </row>
    <row r="1271" spans="1:2" x14ac:dyDescent="0.35">
      <c r="A1271" t="s">
        <v>1758</v>
      </c>
      <c r="B1271" t="s">
        <v>810</v>
      </c>
    </row>
    <row r="1272" spans="1:2" x14ac:dyDescent="0.35">
      <c r="A1272" t="s">
        <v>1759</v>
      </c>
      <c r="B1272" t="s">
        <v>810</v>
      </c>
    </row>
    <row r="1273" spans="1:2" x14ac:dyDescent="0.35">
      <c r="A1273" t="s">
        <v>1760</v>
      </c>
      <c r="B1273" t="s">
        <v>810</v>
      </c>
    </row>
    <row r="1274" spans="1:2" x14ac:dyDescent="0.35">
      <c r="A1274" t="s">
        <v>1761</v>
      </c>
      <c r="B1274" t="s">
        <v>810</v>
      </c>
    </row>
    <row r="1275" spans="1:2" x14ac:dyDescent="0.35">
      <c r="A1275" t="s">
        <v>239</v>
      </c>
      <c r="B1275" t="s">
        <v>810</v>
      </c>
    </row>
    <row r="1276" spans="1:2" x14ac:dyDescent="0.35">
      <c r="A1276" t="s">
        <v>266</v>
      </c>
      <c r="B1276" t="s">
        <v>810</v>
      </c>
    </row>
    <row r="1277" spans="1:2" x14ac:dyDescent="0.35">
      <c r="A1277" t="s">
        <v>1762</v>
      </c>
      <c r="B1277" t="s">
        <v>810</v>
      </c>
    </row>
    <row r="1278" spans="1:2" x14ac:dyDescent="0.35">
      <c r="A1278" t="s">
        <v>1763</v>
      </c>
      <c r="B1278" t="s">
        <v>810</v>
      </c>
    </row>
    <row r="1279" spans="1:2" x14ac:dyDescent="0.35">
      <c r="A1279" t="s">
        <v>147</v>
      </c>
      <c r="B1279" t="s">
        <v>147</v>
      </c>
    </row>
    <row r="1280" spans="1:2" x14ac:dyDescent="0.35">
      <c r="A1280" t="s">
        <v>471</v>
      </c>
      <c r="B1280" t="s">
        <v>471</v>
      </c>
    </row>
    <row r="1281" spans="1:2" x14ac:dyDescent="0.35">
      <c r="A1281" t="s">
        <v>515</v>
      </c>
      <c r="B1281" t="s">
        <v>515</v>
      </c>
    </row>
    <row r="1282" spans="1:2" x14ac:dyDescent="0.35">
      <c r="A1282" t="s">
        <v>1764</v>
      </c>
      <c r="B1282" t="s">
        <v>515</v>
      </c>
    </row>
    <row r="1283" spans="1:2" x14ac:dyDescent="0.35">
      <c r="A1283" t="s">
        <v>1765</v>
      </c>
      <c r="B1283" t="s">
        <v>515</v>
      </c>
    </row>
    <row r="1284" spans="1:2" x14ac:dyDescent="0.35">
      <c r="A1284" t="s">
        <v>1766</v>
      </c>
      <c r="B1284" t="s">
        <v>515</v>
      </c>
    </row>
    <row r="1285" spans="1:2" x14ac:dyDescent="0.35">
      <c r="A1285" t="s">
        <v>1767</v>
      </c>
      <c r="B1285" t="s">
        <v>515</v>
      </c>
    </row>
    <row r="1286" spans="1:2" x14ac:dyDescent="0.35">
      <c r="A1286" t="s">
        <v>1768</v>
      </c>
      <c r="B1286" t="s">
        <v>515</v>
      </c>
    </row>
    <row r="1287" spans="1:2" x14ac:dyDescent="0.35">
      <c r="A1287" t="s">
        <v>1769</v>
      </c>
      <c r="B1287" t="s">
        <v>515</v>
      </c>
    </row>
    <row r="1288" spans="1:2" x14ac:dyDescent="0.35">
      <c r="A1288" t="s">
        <v>1770</v>
      </c>
      <c r="B1288" t="s">
        <v>515</v>
      </c>
    </row>
    <row r="1289" spans="1:2" x14ac:dyDescent="0.35">
      <c r="A1289" t="s">
        <v>1771</v>
      </c>
      <c r="B1289" t="s">
        <v>515</v>
      </c>
    </row>
    <row r="1290" spans="1:2" x14ac:dyDescent="0.35">
      <c r="A1290" t="s">
        <v>1772</v>
      </c>
      <c r="B1290" t="s">
        <v>515</v>
      </c>
    </row>
    <row r="1291" spans="1:2" x14ac:dyDescent="0.35">
      <c r="A1291" t="s">
        <v>1773</v>
      </c>
      <c r="B1291" t="s">
        <v>515</v>
      </c>
    </row>
    <row r="1292" spans="1:2" x14ac:dyDescent="0.35">
      <c r="A1292" t="s">
        <v>1774</v>
      </c>
      <c r="B1292" t="s">
        <v>515</v>
      </c>
    </row>
    <row r="1293" spans="1:2" x14ac:dyDescent="0.35">
      <c r="A1293" t="s">
        <v>1775</v>
      </c>
      <c r="B1293" t="s">
        <v>515</v>
      </c>
    </row>
    <row r="1294" spans="1:2" x14ac:dyDescent="0.35">
      <c r="A1294" t="s">
        <v>1776</v>
      </c>
      <c r="B1294" t="s">
        <v>515</v>
      </c>
    </row>
    <row r="1295" spans="1:2" x14ac:dyDescent="0.35">
      <c r="A1295" t="s">
        <v>1777</v>
      </c>
      <c r="B1295" t="s">
        <v>515</v>
      </c>
    </row>
    <row r="1296" spans="1:2" x14ac:dyDescent="0.35">
      <c r="A1296" t="s">
        <v>1778</v>
      </c>
      <c r="B1296" t="s">
        <v>515</v>
      </c>
    </row>
    <row r="1297" spans="1:2" x14ac:dyDescent="0.35">
      <c r="A1297" t="s">
        <v>1779</v>
      </c>
      <c r="B1297" t="s">
        <v>515</v>
      </c>
    </row>
    <row r="1298" spans="1:2" x14ac:dyDescent="0.35">
      <c r="A1298" t="s">
        <v>1780</v>
      </c>
      <c r="B1298" t="s">
        <v>515</v>
      </c>
    </row>
    <row r="1299" spans="1:2" x14ac:dyDescent="0.35">
      <c r="A1299" t="s">
        <v>1781</v>
      </c>
      <c r="B1299" t="s">
        <v>515</v>
      </c>
    </row>
    <row r="1300" spans="1:2" x14ac:dyDescent="0.35">
      <c r="A1300" t="s">
        <v>1782</v>
      </c>
      <c r="B1300" t="s">
        <v>515</v>
      </c>
    </row>
    <row r="1301" spans="1:2" x14ac:dyDescent="0.35">
      <c r="A1301" t="s">
        <v>1783</v>
      </c>
      <c r="B1301" t="s">
        <v>515</v>
      </c>
    </row>
    <row r="1302" spans="1:2" x14ac:dyDescent="0.35">
      <c r="A1302" t="s">
        <v>1784</v>
      </c>
      <c r="B1302" t="s">
        <v>515</v>
      </c>
    </row>
    <row r="1303" spans="1:2" x14ac:dyDescent="0.35">
      <c r="A1303" t="s">
        <v>1785</v>
      </c>
      <c r="B1303" t="s">
        <v>515</v>
      </c>
    </row>
    <row r="1304" spans="1:2" x14ac:dyDescent="0.35">
      <c r="A1304" t="s">
        <v>1786</v>
      </c>
      <c r="B1304" t="s">
        <v>515</v>
      </c>
    </row>
    <row r="1305" spans="1:2" x14ac:dyDescent="0.35">
      <c r="A1305" t="s">
        <v>1787</v>
      </c>
      <c r="B1305" t="s">
        <v>515</v>
      </c>
    </row>
    <row r="1306" spans="1:2" x14ac:dyDescent="0.35">
      <c r="A1306" t="s">
        <v>1788</v>
      </c>
      <c r="B1306" t="s">
        <v>515</v>
      </c>
    </row>
    <row r="1307" spans="1:2" x14ac:dyDescent="0.35">
      <c r="A1307" t="s">
        <v>1789</v>
      </c>
      <c r="B1307" t="s">
        <v>515</v>
      </c>
    </row>
    <row r="1308" spans="1:2" x14ac:dyDescent="0.35">
      <c r="A1308" t="s">
        <v>1790</v>
      </c>
      <c r="B1308" t="s">
        <v>515</v>
      </c>
    </row>
    <row r="1309" spans="1:2" x14ac:dyDescent="0.35">
      <c r="A1309" t="s">
        <v>1791</v>
      </c>
      <c r="B1309" t="s">
        <v>515</v>
      </c>
    </row>
    <row r="1310" spans="1:2" x14ac:dyDescent="0.35">
      <c r="A1310" t="s">
        <v>1792</v>
      </c>
      <c r="B1310" t="s">
        <v>515</v>
      </c>
    </row>
    <row r="1311" spans="1:2" x14ac:dyDescent="0.35">
      <c r="A1311" t="s">
        <v>1793</v>
      </c>
      <c r="B1311" t="s">
        <v>515</v>
      </c>
    </row>
    <row r="1312" spans="1:2" x14ac:dyDescent="0.35">
      <c r="A1312" t="s">
        <v>517</v>
      </c>
      <c r="B1312" t="s">
        <v>517</v>
      </c>
    </row>
    <row r="1313" spans="1:2" x14ac:dyDescent="0.35">
      <c r="A1313" t="s">
        <v>1794</v>
      </c>
      <c r="B1313" t="s">
        <v>563</v>
      </c>
    </row>
    <row r="1314" spans="1:2" x14ac:dyDescent="0.35">
      <c r="A1314" t="s">
        <v>1795</v>
      </c>
      <c r="B1314" t="s">
        <v>563</v>
      </c>
    </row>
    <row r="1315" spans="1:2" x14ac:dyDescent="0.35">
      <c r="A1315" t="s">
        <v>1796</v>
      </c>
      <c r="B1315" t="s">
        <v>563</v>
      </c>
    </row>
    <row r="1316" spans="1:2" x14ac:dyDescent="0.35">
      <c r="A1316" t="s">
        <v>1797</v>
      </c>
      <c r="B1316" t="s">
        <v>563</v>
      </c>
    </row>
    <row r="1317" spans="1:2" x14ac:dyDescent="0.35">
      <c r="A1317" t="s">
        <v>1798</v>
      </c>
      <c r="B1317" t="s">
        <v>563</v>
      </c>
    </row>
    <row r="1318" spans="1:2" x14ac:dyDescent="0.35">
      <c r="A1318" t="s">
        <v>1799</v>
      </c>
      <c r="B1318" t="s">
        <v>563</v>
      </c>
    </row>
    <row r="1319" spans="1:2" x14ac:dyDescent="0.35">
      <c r="A1319" t="s">
        <v>1800</v>
      </c>
      <c r="B1319" t="s">
        <v>563</v>
      </c>
    </row>
    <row r="1320" spans="1:2" x14ac:dyDescent="0.35">
      <c r="A1320" t="s">
        <v>1801</v>
      </c>
      <c r="B1320" t="s">
        <v>563</v>
      </c>
    </row>
    <row r="1321" spans="1:2" x14ac:dyDescent="0.35">
      <c r="A1321" t="s">
        <v>1802</v>
      </c>
      <c r="B1321" t="s">
        <v>563</v>
      </c>
    </row>
    <row r="1322" spans="1:2" x14ac:dyDescent="0.35">
      <c r="A1322" t="s">
        <v>1803</v>
      </c>
      <c r="B1322" t="s">
        <v>563</v>
      </c>
    </row>
    <row r="1323" spans="1:2" x14ac:dyDescent="0.35">
      <c r="A1323" t="s">
        <v>1804</v>
      </c>
      <c r="B1323" t="s">
        <v>563</v>
      </c>
    </row>
    <row r="1324" spans="1:2" x14ac:dyDescent="0.35">
      <c r="A1324" t="s">
        <v>1805</v>
      </c>
      <c r="B1324" t="s">
        <v>563</v>
      </c>
    </row>
    <row r="1325" spans="1:2" x14ac:dyDescent="0.35">
      <c r="A1325" t="s">
        <v>1806</v>
      </c>
      <c r="B1325" t="s">
        <v>563</v>
      </c>
    </row>
    <row r="1326" spans="1:2" x14ac:dyDescent="0.35">
      <c r="A1326" t="s">
        <v>1807</v>
      </c>
      <c r="B1326" t="s">
        <v>563</v>
      </c>
    </row>
    <row r="1327" spans="1:2" x14ac:dyDescent="0.35">
      <c r="A1327" t="s">
        <v>1808</v>
      </c>
      <c r="B1327" t="s">
        <v>563</v>
      </c>
    </row>
    <row r="1328" spans="1:2" x14ac:dyDescent="0.35">
      <c r="A1328" t="s">
        <v>280</v>
      </c>
      <c r="B1328" t="s">
        <v>571</v>
      </c>
    </row>
    <row r="1329" spans="1:2" x14ac:dyDescent="0.35">
      <c r="A1329" t="s">
        <v>281</v>
      </c>
      <c r="B1329" t="s">
        <v>571</v>
      </c>
    </row>
    <row r="1330" spans="1:2" x14ac:dyDescent="0.35">
      <c r="A1330" t="s">
        <v>1809</v>
      </c>
      <c r="B1330" t="s">
        <v>571</v>
      </c>
    </row>
    <row r="1331" spans="1:2" x14ac:dyDescent="0.35">
      <c r="A1331" t="s">
        <v>1810</v>
      </c>
      <c r="B1331" t="s">
        <v>571</v>
      </c>
    </row>
    <row r="1332" spans="1:2" x14ac:dyDescent="0.35">
      <c r="A1332" t="s">
        <v>1811</v>
      </c>
      <c r="B1332" t="s">
        <v>571</v>
      </c>
    </row>
    <row r="1333" spans="1:2" x14ac:dyDescent="0.35">
      <c r="A1333" t="s">
        <v>1812</v>
      </c>
      <c r="B1333" t="s">
        <v>571</v>
      </c>
    </row>
    <row r="1334" spans="1:2" x14ac:dyDescent="0.35">
      <c r="A1334" t="s">
        <v>268</v>
      </c>
      <c r="B1334" t="s">
        <v>268</v>
      </c>
    </row>
    <row r="1335" spans="1:2" x14ac:dyDescent="0.35">
      <c r="A1335" t="s">
        <v>1813</v>
      </c>
      <c r="B1335" t="s">
        <v>1813</v>
      </c>
    </row>
  </sheetData>
  <autoFilter ref="A1:B1335" xr:uid="{2EC4D685-1B5B-44D6-B3AA-D86701B1C72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map_appelations</vt:lpstr>
      <vt:lpstr>Feuil1</vt:lpstr>
      <vt:lpstr>Feuil2</vt:lpstr>
      <vt:lpstr>Appelations</vt:lpstr>
      <vt:lpstr>cave_Appelations</vt:lpstr>
      <vt:lpstr>Map2_AOC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Aurélien Pinon</cp:lastModifiedBy>
  <dcterms:created xsi:type="dcterms:W3CDTF">2026-08-05T14:32:10Z</dcterms:created>
  <dcterms:modified xsi:type="dcterms:W3CDTF">2026-08-11T10:33:33Z</dcterms:modified>
</cp:coreProperties>
</file>